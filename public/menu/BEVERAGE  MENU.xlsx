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500" activeTab="2"/>
  </bookViews>
  <sheets>
    <sheet name="BAR MENU " sheetId="1" r:id="rId1"/>
    <sheet name="NRM MENU 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<sst xmlns="http://schemas.openxmlformats.org/spreadsheetml/2006/main" count="646" uniqueCount="345">
  <si>
    <t>SR NO</t>
  </si>
  <si>
    <t xml:space="preserve">BLENDED SCOTCH </t>
  </si>
  <si>
    <t xml:space="preserve">ML </t>
  </si>
  <si>
    <t xml:space="preserve">MRP </t>
  </si>
  <si>
    <t>LANDING</t>
  </si>
  <si>
    <t>30ML COST</t>
  </si>
  <si>
    <t>SELLING PRICE</t>
  </si>
  <si>
    <t xml:space="preserve">JW BLUE LABLE </t>
  </si>
  <si>
    <t xml:space="preserve">JW BLACK LABLE </t>
  </si>
  <si>
    <t>OVER ALL STRAIGT DRINKS COST 27.76%</t>
  </si>
  <si>
    <t xml:space="preserve">JW RED LABLE </t>
  </si>
  <si>
    <t xml:space="preserve">JW GOLD LABLE </t>
  </si>
  <si>
    <t xml:space="preserve">JW DOUBLE BLACK </t>
  </si>
  <si>
    <t xml:space="preserve">JW BLONDE BLENDED </t>
  </si>
  <si>
    <t xml:space="preserve">ROYAL SALUTE </t>
  </si>
  <si>
    <t xml:space="preserve">CHIVAS REAGAL 12 YO </t>
  </si>
  <si>
    <t xml:space="preserve">CHIVAS REAGAL 18 YO </t>
  </si>
  <si>
    <t>COST</t>
  </si>
  <si>
    <t xml:space="preserve">BLENDED MALT </t>
  </si>
  <si>
    <t>MONKEY SHOULDER</t>
  </si>
  <si>
    <t xml:space="preserve">SINGLE MALT </t>
  </si>
  <si>
    <t xml:space="preserve"> THE GLENFIDDICH 15YO</t>
  </si>
  <si>
    <t xml:space="preserve"> THE GLENFIDDICH 12YO</t>
  </si>
  <si>
    <t>ABERLOUR 12 YO</t>
  </si>
  <si>
    <t>THE GLENLIVET 12 YO</t>
  </si>
  <si>
    <t>THE DALMORE 12 YO</t>
  </si>
  <si>
    <t>ABERFELDY 12YO</t>
  </si>
  <si>
    <t>GLENKINCHIE</t>
  </si>
  <si>
    <t>CAOL ILA 12</t>
  </si>
  <si>
    <t>LAPHROAIG 10YO</t>
  </si>
  <si>
    <t xml:space="preserve">TALISKER </t>
  </si>
  <si>
    <t>THE  SINGLETON 15YO</t>
  </si>
  <si>
    <t xml:space="preserve">RAMPUR </t>
  </si>
  <si>
    <t>THE GLEN MORRANGIE</t>
  </si>
  <si>
    <t xml:space="preserve">PREMIUM SCOTCH </t>
  </si>
  <si>
    <t>BLACK DOG 12YO</t>
  </si>
  <si>
    <t xml:space="preserve">BLACK DOG CENTENARY </t>
  </si>
  <si>
    <t>BALLENTINE"S</t>
  </si>
  <si>
    <t xml:space="preserve">BLACK &amp;WHITE </t>
  </si>
  <si>
    <t>DEWAR"S  15YO</t>
  </si>
  <si>
    <t>DEWAR"S 12YO</t>
  </si>
  <si>
    <t>DEWAR"S WHITE LABEL</t>
  </si>
  <si>
    <t xml:space="preserve">100 PIPERS </t>
  </si>
  <si>
    <t>TEAHCER"S 50</t>
  </si>
  <si>
    <t xml:space="preserve">TEAHCER"S HIGHLAND CREAM </t>
  </si>
  <si>
    <t xml:space="preserve">TAMERLANE </t>
  </si>
  <si>
    <t>VAT 69</t>
  </si>
  <si>
    <t xml:space="preserve">J&amp;B RARE </t>
  </si>
  <si>
    <t>WILLAM LAWSON"S</t>
  </si>
  <si>
    <t>ROYAL RANTHAMBORE</t>
  </si>
  <si>
    <t>TEAHCER"S ORIGIN</t>
  </si>
  <si>
    <t>TEAHCER"S GOLDEN THISTLE</t>
  </si>
  <si>
    <t xml:space="preserve">BOURBON &amp; TENNESSEE </t>
  </si>
  <si>
    <t xml:space="preserve">GENTLEMAN JACK </t>
  </si>
  <si>
    <t xml:space="preserve">JACK DANIEL NO 7 </t>
  </si>
  <si>
    <t xml:space="preserve">JACK DANIEL APPLE </t>
  </si>
  <si>
    <t xml:space="preserve">JACK DANIEL HONEY </t>
  </si>
  <si>
    <t xml:space="preserve">JACK DANIEL CINNAMON </t>
  </si>
  <si>
    <t xml:space="preserve">JIM BEAM BLACK </t>
  </si>
  <si>
    <t xml:space="preserve">JIM BEAM WHITE </t>
  </si>
  <si>
    <t xml:space="preserve">WILD TURKEY </t>
  </si>
  <si>
    <t xml:space="preserve">DOMESTIC  </t>
  </si>
  <si>
    <t xml:space="preserve">ANTIQUITY BLUE </t>
  </si>
  <si>
    <t xml:space="preserve">BLENDERS PRIDE RESERVE </t>
  </si>
  <si>
    <t xml:space="preserve">SIGNATURE </t>
  </si>
  <si>
    <t xml:space="preserve">OAK SMITH 12YO </t>
  </si>
  <si>
    <t xml:space="preserve">OAKTON </t>
  </si>
  <si>
    <t xml:space="preserve">IRISH </t>
  </si>
  <si>
    <t xml:space="preserve">JAMESON </t>
  </si>
  <si>
    <t xml:space="preserve">JAMESON STOUT </t>
  </si>
  <si>
    <t xml:space="preserve">JAMESON BLACK BARREL </t>
  </si>
  <si>
    <t xml:space="preserve">BUSHMILLS THE ORIGINAL IRISH </t>
  </si>
  <si>
    <t xml:space="preserve">JAPANESE </t>
  </si>
  <si>
    <t xml:space="preserve">AKASI TOJI </t>
  </si>
  <si>
    <t xml:space="preserve">SHINOBO </t>
  </si>
  <si>
    <t xml:space="preserve">SUNTORY TOKI </t>
  </si>
  <si>
    <t>HIBIKI</t>
  </si>
  <si>
    <t>COGNAC &amp; BRANDY</t>
  </si>
  <si>
    <t xml:space="preserve">REMY MARTIN VSOP </t>
  </si>
  <si>
    <t xml:space="preserve">HENNESSY VSOP </t>
  </si>
  <si>
    <t>MORPHEUS XO</t>
  </si>
  <si>
    <t xml:space="preserve"> </t>
  </si>
  <si>
    <t xml:space="preserve">GIN </t>
  </si>
  <si>
    <t xml:space="preserve">BULL DOG </t>
  </si>
  <si>
    <t xml:space="preserve">BOMBAY SAPPHIRE </t>
  </si>
  <si>
    <t>COBALTO 17</t>
  </si>
  <si>
    <t xml:space="preserve">GORDONS </t>
  </si>
  <si>
    <t xml:space="preserve">HAPUSA </t>
  </si>
  <si>
    <t xml:space="preserve">HENDRRICK"S </t>
  </si>
  <si>
    <t xml:space="preserve">JAISALMER </t>
  </si>
  <si>
    <t xml:space="preserve">JODHPUR </t>
  </si>
  <si>
    <t xml:space="preserve">ROKU </t>
  </si>
  <si>
    <t>TENQURY 10</t>
  </si>
  <si>
    <t xml:space="preserve">TENQURY </t>
  </si>
  <si>
    <t xml:space="preserve">TERAI </t>
  </si>
  <si>
    <t xml:space="preserve">GREATER THAN </t>
  </si>
  <si>
    <t>MONKEY 47</t>
  </si>
  <si>
    <t xml:space="preserve">PERRY ROAD PERU </t>
  </si>
  <si>
    <t xml:space="preserve">STRANGER &amp; SONS </t>
  </si>
  <si>
    <t xml:space="preserve">VODKA </t>
  </si>
  <si>
    <t xml:space="preserve">ABSOLUT </t>
  </si>
  <si>
    <t xml:space="preserve">BELUGA </t>
  </si>
  <si>
    <t xml:space="preserve">BELVEDERE </t>
  </si>
  <si>
    <t xml:space="preserve">CIROC </t>
  </si>
  <si>
    <t xml:space="preserve">ELIT </t>
  </si>
  <si>
    <t xml:space="preserve">GREY GOOSE </t>
  </si>
  <si>
    <t xml:space="preserve">KETEL ONE </t>
  </si>
  <si>
    <t>MAGIC MOMENT VERVE</t>
  </si>
  <si>
    <t xml:space="preserve">SHORT STORY </t>
  </si>
  <si>
    <t>SKYY</t>
  </si>
  <si>
    <t xml:space="preserve">SMRINOFF </t>
  </si>
  <si>
    <t xml:space="preserve">RUM </t>
  </si>
  <si>
    <t xml:space="preserve">BACARDI OCHO 8YO </t>
  </si>
  <si>
    <t>BACARDI ANEJO CUATRU 4YO</t>
  </si>
  <si>
    <t xml:space="preserve">BACARDI CARTA BLANCA </t>
  </si>
  <si>
    <t xml:space="preserve">OLD MONK COFFEE XO </t>
  </si>
  <si>
    <t>OLD MONK XXX</t>
  </si>
  <si>
    <t>SHORT STORY</t>
  </si>
  <si>
    <t>TEQUILA &amp; AGAVE SPRITS</t>
  </si>
  <si>
    <t xml:space="preserve">CASCO VIEJO SILVER </t>
  </si>
  <si>
    <t xml:space="preserve">CASCO VIEJO GOLD </t>
  </si>
  <si>
    <t xml:space="preserve">CORRALEJO BIANCO </t>
  </si>
  <si>
    <t>CORRALEJO REPOSADO</t>
  </si>
  <si>
    <t>LA CHICA GOLD</t>
  </si>
  <si>
    <t xml:space="preserve">LA CHICA BIANCO </t>
  </si>
  <si>
    <t xml:space="preserve">PATRON SILVER </t>
  </si>
  <si>
    <t>CAMINO REAL BIANCO</t>
  </si>
  <si>
    <t xml:space="preserve">CAMINO REAL GOLD </t>
  </si>
  <si>
    <t xml:space="preserve">1800 REPOSADO </t>
  </si>
  <si>
    <t>PISTOLA REPOSADO</t>
  </si>
  <si>
    <t xml:space="preserve">LIQUEUR &amp; APERITIF </t>
  </si>
  <si>
    <t xml:space="preserve">APEROL </t>
  </si>
  <si>
    <t xml:space="preserve">XENTA ABSINTHE </t>
  </si>
  <si>
    <t xml:space="preserve">BAILES </t>
  </si>
  <si>
    <t xml:space="preserve">COINTREAU </t>
  </si>
  <si>
    <t xml:space="preserve">CAMPARI </t>
  </si>
  <si>
    <t>DRAMBUIE</t>
  </si>
  <si>
    <t>JAGERMEISTER</t>
  </si>
  <si>
    <t xml:space="preserve">KAHLUA </t>
  </si>
  <si>
    <t>LIMONCELLO</t>
  </si>
  <si>
    <t xml:space="preserve">ZAPPA SAMBUCA </t>
  </si>
  <si>
    <t xml:space="preserve">MALIBU </t>
  </si>
  <si>
    <t xml:space="preserve">ORANGE DUCK </t>
  </si>
  <si>
    <t xml:space="preserve">X RATED </t>
  </si>
  <si>
    <t>MARTINI ROSSO</t>
  </si>
  <si>
    <t>MARTINI BIANCO</t>
  </si>
  <si>
    <t>MARTINI EXTRA DRY</t>
  </si>
  <si>
    <t>FIREBALL</t>
  </si>
  <si>
    <t xml:space="preserve">ALCOPOPS </t>
  </si>
  <si>
    <t>275ML COST</t>
  </si>
  <si>
    <t xml:space="preserve">ELECTRA </t>
  </si>
  <si>
    <t>BREEZER</t>
  </si>
  <si>
    <t xml:space="preserve">BOTTLE BEER </t>
  </si>
  <si>
    <t>330ML COST</t>
  </si>
  <si>
    <t xml:space="preserve">BIRA 91 WHITE </t>
  </si>
  <si>
    <t>BIRA 91 BLONDE</t>
  </si>
  <si>
    <t xml:space="preserve">BIRA 91 LIGHT </t>
  </si>
  <si>
    <t>BUDWEISER</t>
  </si>
  <si>
    <t>CARLSBERG PREMIUM</t>
  </si>
  <si>
    <t xml:space="preserve">CORONA </t>
  </si>
  <si>
    <t xml:space="preserve">HEINEKEN </t>
  </si>
  <si>
    <t>HOEGARDEN</t>
  </si>
  <si>
    <t xml:space="preserve">KINGFISHER ULTRA </t>
  </si>
  <si>
    <t xml:space="preserve">CALDERA </t>
  </si>
  <si>
    <t>CRAFT BEER &amp; DRAUGHT</t>
  </si>
  <si>
    <t>500ML COST</t>
  </si>
  <si>
    <t>CALDERA   500ML</t>
  </si>
  <si>
    <t>KINGFISHER DRAUGHT 500ML</t>
  </si>
  <si>
    <t>KINGFISHER DRAUGHT 1000ML</t>
  </si>
  <si>
    <t>KINGFISHER DRAUGHT 3000ML</t>
  </si>
  <si>
    <t xml:space="preserve">WINE </t>
  </si>
  <si>
    <t>150ML COST</t>
  </si>
  <si>
    <t xml:space="preserve">BY GLASS </t>
  </si>
  <si>
    <t xml:space="preserve">AG 47 CHARDONNY </t>
  </si>
  <si>
    <t>AG 47 MALBAC SHIRAZ</t>
  </si>
  <si>
    <t>SENORITA SAUVIGNON BLANC</t>
  </si>
  <si>
    <t>SENORITA CABERNET  SAUVIGNON</t>
  </si>
  <si>
    <t>JACOBS CREEK CHARDONNAY</t>
  </si>
  <si>
    <t>JACOBS CREEK SHIRAZ</t>
  </si>
  <si>
    <t xml:space="preserve">MATEUS ROSE </t>
  </si>
  <si>
    <t xml:space="preserve">CHATEAU BONNET RED </t>
  </si>
  <si>
    <t xml:space="preserve">CHATEAU BONNET WHITE </t>
  </si>
  <si>
    <t>FARTELLI CABERNET F SHIRAZ</t>
  </si>
  <si>
    <t>FARTELLI CHARDONNAY</t>
  </si>
  <si>
    <t>SENORITA ROSE SYRAH</t>
  </si>
  <si>
    <t xml:space="preserve">CHAMPAGNE , PROSECCO &amp; SPARKLING </t>
  </si>
  <si>
    <t>750ML COST</t>
  </si>
  <si>
    <t xml:space="preserve">MOET &amp; CHANDON </t>
  </si>
  <si>
    <t xml:space="preserve">CINZANO PROSECCO </t>
  </si>
  <si>
    <t xml:space="preserve">SULA SECO METHODE CLASSIQUE </t>
  </si>
  <si>
    <t xml:space="preserve">CHARLES ROUX ICE </t>
  </si>
  <si>
    <t>JUST ROBERTO PROSECCO</t>
  </si>
  <si>
    <t>NOI SPARKLING</t>
  </si>
  <si>
    <t xml:space="preserve">VODKA  </t>
  </si>
  <si>
    <t>NRM SMIRNOFF</t>
  </si>
  <si>
    <t>OVER ALL STRAIGT DRINKS COST 36.03%</t>
  </si>
  <si>
    <t>NRM ABSOLUT</t>
  </si>
  <si>
    <t>NRM VERVE</t>
  </si>
  <si>
    <t xml:space="preserve">WHISKEY </t>
  </si>
  <si>
    <t>NRM SIGNATURE PREMIUM</t>
  </si>
  <si>
    <t>NRM ANTIQUITY BLUE</t>
  </si>
  <si>
    <t>NRM OAKSMITH 12</t>
  </si>
  <si>
    <t>NRM BLENDERS PRIDE RESERVE</t>
  </si>
  <si>
    <t>NRM OAKTON</t>
  </si>
  <si>
    <t>NRM VAT 69</t>
  </si>
  <si>
    <t>NRM WILLIAM LAWSON'S</t>
  </si>
  <si>
    <t>NRM BLACK DOG 8 YEARS</t>
  </si>
  <si>
    <t>NRM BLACK AND WHITE</t>
  </si>
  <si>
    <t>NRM J.W. RED LABEL</t>
  </si>
  <si>
    <t>NRM TAMERLANE</t>
  </si>
  <si>
    <t xml:space="preserve">SCOTCH </t>
  </si>
  <si>
    <t>NRM JW BLACK LABEL</t>
  </si>
  <si>
    <t>NRM CHIVAS REAGAL 12YO</t>
  </si>
  <si>
    <t>NRM JW BLONDE BLENDED</t>
  </si>
  <si>
    <t>NRM THE GLEN MORRANGIE</t>
  </si>
  <si>
    <t xml:space="preserve">NRM TALISKER </t>
  </si>
  <si>
    <t>NRM CALCUTTA GIN</t>
  </si>
  <si>
    <t>NRM GREATER  THAN</t>
  </si>
  <si>
    <t>NRM OLD MONK</t>
  </si>
  <si>
    <t>NRM BACARDI CARTA BLANCA</t>
  </si>
  <si>
    <t>BRANDY</t>
  </si>
  <si>
    <t>ALCOPOPS</t>
  </si>
  <si>
    <t>NRM BREEZER</t>
  </si>
  <si>
    <t>NRM ELECTRA</t>
  </si>
  <si>
    <t xml:space="preserve">HOUSE BEER  </t>
  </si>
  <si>
    <t xml:space="preserve">KINGFISHER  DRAUGHT </t>
  </si>
  <si>
    <t>KINGFISHER BY BOTTLE</t>
  </si>
  <si>
    <t>BLENDED SCOTCH  WHISKY</t>
  </si>
  <si>
    <t>ML</t>
  </si>
  <si>
    <t>MRP</t>
  </si>
  <si>
    <t>JOHNNIE WALKER BLUE LABLE</t>
  </si>
  <si>
    <t>ROYAL SALUTE  21 YO</t>
  </si>
  <si>
    <t>JOHNNIE WALKER 18 YO</t>
  </si>
  <si>
    <t>CHIVAS REAGAL 18 YO</t>
  </si>
  <si>
    <t>DEWAR"S 18 YO</t>
  </si>
  <si>
    <t>JOHNNIE WALKER GOLD LABLE</t>
  </si>
  <si>
    <t>JOHNNIE WALKER DOUBLE BLACK</t>
  </si>
  <si>
    <t>DEWAR"S  15 YO</t>
  </si>
  <si>
    <t>JOHNNIE WALKER BLACK LABLE</t>
  </si>
  <si>
    <t>CHIVAS REAGAL 12 YO</t>
  </si>
  <si>
    <t>JOHNNIE WALKER BLONDE</t>
  </si>
  <si>
    <t>BLENDED MALT WHISKY</t>
  </si>
  <si>
    <t>MONKEY SHOULDER SMOKEY MONKEY</t>
  </si>
  <si>
    <t>SINGLE MALT</t>
  </si>
  <si>
    <t>THE MACALLAN 12 YO</t>
  </si>
  <si>
    <t>GLENFIDDICH 15 YO</t>
  </si>
  <si>
    <t>THE  SINGLETON 15 YO</t>
  </si>
  <si>
    <t>GLENFIDDICH 12 YO</t>
  </si>
  <si>
    <t>LAPHROAIG 10 YO</t>
  </si>
  <si>
    <t>GLENMORRANGIE</t>
  </si>
  <si>
    <t>TALISKER 10 YO</t>
  </si>
  <si>
    <t>SINGLE MALT PRIDE OF INDIA</t>
  </si>
  <si>
    <t>RAMPUR</t>
  </si>
  <si>
    <t>GODAWAN 01</t>
  </si>
  <si>
    <t>GODAWAN 02</t>
  </si>
  <si>
    <t>INDRI</t>
  </si>
  <si>
    <t>AMRUT AMALGAM</t>
  </si>
  <si>
    <t>BOURBON &amp; TENNESSEE WHISKEY</t>
  </si>
  <si>
    <t>GENTLEMAN JACK</t>
  </si>
  <si>
    <t>MAKERS MARK</t>
  </si>
  <si>
    <t>JACK DANIEL NO 7</t>
  </si>
  <si>
    <t>JIM BEAM BLACK</t>
  </si>
  <si>
    <t>WILD TURKEY</t>
  </si>
  <si>
    <t>IRISH WHISKEY</t>
  </si>
  <si>
    <t>TEELING</t>
  </si>
  <si>
    <t>JAMESON BLACK BARREL</t>
  </si>
  <si>
    <t>JAMESON STOUT</t>
  </si>
  <si>
    <t>BUSHMILLS THE ORIGINAL IRISH</t>
  </si>
  <si>
    <t>JAMESON</t>
  </si>
  <si>
    <t>JAPANESE  WHISKY</t>
  </si>
  <si>
    <t>YAMAZAKURA</t>
  </si>
  <si>
    <t>SUNTORY TOKI</t>
  </si>
  <si>
    <t>HENNESSY VS</t>
  </si>
  <si>
    <t>MARTELL VS</t>
  </si>
  <si>
    <t>NAPOLEON</t>
  </si>
  <si>
    <t>GIN</t>
  </si>
  <si>
    <t>TANQUERARY NO TEN</t>
  </si>
  <si>
    <t>JODHPUR</t>
  </si>
  <si>
    <t>ROKU</t>
  </si>
  <si>
    <t>JAISALMER</t>
  </si>
  <si>
    <t>HENDRRICK"S</t>
  </si>
  <si>
    <t>MALFY</t>
  </si>
  <si>
    <t>BULL DOG</t>
  </si>
  <si>
    <t>BOMBAY SAPPHIRE</t>
  </si>
  <si>
    <t>TANQUERARY</t>
  </si>
  <si>
    <t>VODKA &amp; WODKA</t>
  </si>
  <si>
    <t>GREY GOOSE ALTIUS</t>
  </si>
  <si>
    <t>BELUGA</t>
  </si>
  <si>
    <t>ROBERTO CAVALLI</t>
  </si>
  <si>
    <t>U`LUVKA</t>
  </si>
  <si>
    <t>BELVEDERE</t>
  </si>
  <si>
    <t>HAKU</t>
  </si>
  <si>
    <t>GREY GOOSE</t>
  </si>
  <si>
    <t>CIROC</t>
  </si>
  <si>
    <t>KETEL ONE</t>
  </si>
  <si>
    <t>ABSOLUT</t>
  </si>
  <si>
    <t>RUM &amp; RON</t>
  </si>
  <si>
    <t>APPLETON 12 YO</t>
  </si>
  <si>
    <t>BACARDI OCHO 8YO</t>
  </si>
  <si>
    <t>CAMIKARA 3 YO</t>
  </si>
  <si>
    <t>HAVANA CLUB</t>
  </si>
  <si>
    <t>TEQUILA,MEZCAL &amp; AGAVE SPRITS</t>
  </si>
  <si>
    <t>DON JULIO 1942</t>
  </si>
  <si>
    <t>DON JULIO ANJEO</t>
  </si>
  <si>
    <t>CRISTAL AZUL ANEJO</t>
  </si>
  <si>
    <t>DON JULIO REPOSADO</t>
  </si>
  <si>
    <t>DON JULIO BLANCO</t>
  </si>
  <si>
    <t>PATRON REPOSADO</t>
  </si>
  <si>
    <t>MONTELOBOS</t>
  </si>
  <si>
    <t>PATRON SILVER</t>
  </si>
  <si>
    <t>ESPOLON  REPOSADO</t>
  </si>
  <si>
    <t>MAYA PISTOLA</t>
  </si>
  <si>
    <t>ESPOLON  BLANCO</t>
  </si>
  <si>
    <t>LIQUEUR &amp; APERITIF</t>
  </si>
  <si>
    <t>AMARULA</t>
  </si>
  <si>
    <t>AMARO MONTENEGRO</t>
  </si>
  <si>
    <t>JACK DANIEL APPLE</t>
  </si>
  <si>
    <t>ABSINTHE 49</t>
  </si>
  <si>
    <t>MOLINARI SAMBUCA</t>
  </si>
  <si>
    <t>JIM BEAM ORANGE</t>
  </si>
  <si>
    <t>CAMPARI</t>
  </si>
  <si>
    <t>AMALFI</t>
  </si>
  <si>
    <t>BAILEYS</t>
  </si>
  <si>
    <t>RICARD ANISE</t>
  </si>
  <si>
    <t>FRANGELICO</t>
  </si>
  <si>
    <t>APEROL</t>
  </si>
  <si>
    <t>KAHLUA</t>
  </si>
  <si>
    <t>BOTTLE  BEER</t>
  </si>
  <si>
    <t>PERONI</t>
  </si>
  <si>
    <t>CORONA EXTRA</t>
  </si>
  <si>
    <t>HOEGAARDEN BLANCHE</t>
  </si>
  <si>
    <t>MAKADI BELGIAN BLANCHE</t>
  </si>
  <si>
    <t>HEINEKEN SILVER</t>
  </si>
  <si>
    <t>BUDWEISER PREMIUM</t>
  </si>
  <si>
    <t>SAKE &amp; SOJU</t>
  </si>
  <si>
    <t>300/360ML COST</t>
  </si>
  <si>
    <t>HAKUTSURU</t>
  </si>
  <si>
    <t>PUNTER PEACH</t>
  </si>
  <si>
    <t>PUNTER GREEN APPLE</t>
  </si>
  <si>
    <t>CHAMPAGNE , PROSECCO &amp; CAVA</t>
  </si>
  <si>
    <t>DOM PERIGNON BRUT</t>
  </si>
  <si>
    <t>MOET &amp; CHANDON ROSE</t>
  </si>
  <si>
    <t>MOET &amp; CHANDON</t>
  </si>
  <si>
    <t>SENSI 18 K BRUT</t>
  </si>
  <si>
    <t>FREIXENET CORDON NEGRO BRUT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</si>
</sst>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"/>
    <numFmt numFmtId="181" formatCode="0.000"/>
  </numFmts>
  <fonts count="3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1" tint="0.0499893185216834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.75"/>
      <color rgb="FF000000"/>
      <name val="Verdana"/>
      <charset val="134"/>
    </font>
    <font>
      <sz val="10.5"/>
      <color rgb="FF000000"/>
      <name val="Verdana"/>
      <charset val="134"/>
    </font>
    <font>
      <b/>
      <sz val="10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i/>
      <u/>
      <sz val="10"/>
      <color theme="1"/>
      <name val="Calibri"/>
      <charset val="134"/>
      <scheme val="minor"/>
    </font>
    <font>
      <b/>
      <i/>
      <u val="double"/>
      <sz val="10"/>
      <color theme="1"/>
      <name val="Calibri"/>
      <charset val="134"/>
      <scheme val="minor"/>
    </font>
    <font>
      <u/>
      <sz val="10"/>
      <color theme="1"/>
      <name val="Calibri"/>
      <charset val="134"/>
      <scheme val="minor"/>
    </font>
    <font>
      <b/>
      <i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4" applyNumberFormat="0" applyAlignment="0" applyProtection="0">
      <alignment vertical="center"/>
    </xf>
    <xf numFmtId="0" fontId="21" fillId="7" borderId="15" applyNumberFormat="0" applyAlignment="0" applyProtection="0">
      <alignment vertical="center"/>
    </xf>
    <xf numFmtId="0" fontId="22" fillId="7" borderId="14" applyNumberFormat="0" applyAlignment="0" applyProtection="0">
      <alignment vertical="center"/>
    </xf>
    <xf numFmtId="0" fontId="23" fillId="8" borderId="16" applyNumberFormat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47">
    <xf numFmtId="0" fontId="0" fillId="0" borderId="0" xfId="0"/>
    <xf numFmtId="1" fontId="0" fillId="0" borderId="0" xfId="0" applyNumberFormat="1"/>
    <xf numFmtId="1" fontId="1" fillId="2" borderId="1" xfId="0" applyNumberFormat="1" applyFont="1" applyFill="1" applyBorder="1"/>
    <xf numFmtId="1" fontId="0" fillId="0" borderId="1" xfId="0" applyNumberFormat="1" applyBorder="1"/>
    <xf numFmtId="1" fontId="2" fillId="3" borderId="2" xfId="0" applyNumberFormat="1" applyFont="1" applyFill="1" applyBorder="1" applyAlignment="1">
      <alignment horizontal="center" vertical="center"/>
    </xf>
    <xf numFmtId="1" fontId="2" fillId="3" borderId="3" xfId="0" applyNumberFormat="1" applyFont="1" applyFill="1" applyBorder="1" applyAlignment="1">
      <alignment horizontal="center" vertical="center"/>
    </xf>
    <xf numFmtId="1" fontId="2" fillId="3" borderId="4" xfId="0" applyNumberFormat="1" applyFont="1" applyFill="1" applyBorder="1" applyAlignment="1">
      <alignment horizontal="center" vertical="center"/>
    </xf>
    <xf numFmtId="1" fontId="2" fillId="3" borderId="5" xfId="0" applyNumberFormat="1" applyFont="1" applyFill="1" applyBorder="1" applyAlignment="1">
      <alignment horizontal="center" vertical="center"/>
    </xf>
    <xf numFmtId="1" fontId="2" fillId="3" borderId="0" xfId="0" applyNumberFormat="1" applyFont="1" applyFill="1" applyBorder="1" applyAlignment="1">
      <alignment horizontal="center" vertical="center"/>
    </xf>
    <xf numFmtId="1" fontId="2" fillId="3" borderId="6" xfId="0" applyNumberFormat="1" applyFont="1" applyFill="1" applyBorder="1" applyAlignment="1">
      <alignment horizontal="center" vertical="center"/>
    </xf>
    <xf numFmtId="1" fontId="2" fillId="3" borderId="7" xfId="0" applyNumberFormat="1" applyFont="1" applyFill="1" applyBorder="1" applyAlignment="1">
      <alignment horizontal="center" vertical="center"/>
    </xf>
    <xf numFmtId="1" fontId="2" fillId="3" borderId="8" xfId="0" applyNumberFormat="1" applyFont="1" applyFill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180" fontId="0" fillId="2" borderId="1" xfId="0" applyNumberFormat="1" applyFill="1" applyBorder="1"/>
    <xf numFmtId="1" fontId="3" fillId="0" borderId="1" xfId="0" applyNumberFormat="1" applyFont="1" applyBorder="1"/>
    <xf numFmtId="0" fontId="4" fillId="0" borderId="0" xfId="0" applyFont="1"/>
    <xf numFmtId="180" fontId="0" fillId="0" borderId="0" xfId="0" applyNumberFormat="1"/>
    <xf numFmtId="0" fontId="5" fillId="0" borderId="0" xfId="0" applyFont="1"/>
    <xf numFmtId="1" fontId="0" fillId="0" borderId="0" xfId="0" applyNumberFormat="1" applyBorder="1"/>
    <xf numFmtId="180" fontId="0" fillId="0" borderId="0" xfId="0" applyNumberFormat="1" applyBorder="1"/>
    <xf numFmtId="1" fontId="6" fillId="4" borderId="1" xfId="0" applyNumberFormat="1" applyFont="1" applyFill="1" applyBorder="1"/>
    <xf numFmtId="1" fontId="1" fillId="4" borderId="1" xfId="0" applyNumberFormat="1" applyFont="1" applyFill="1" applyBorder="1"/>
    <xf numFmtId="1" fontId="3" fillId="0" borderId="10" xfId="0" applyNumberFormat="1" applyFont="1" applyBorder="1"/>
    <xf numFmtId="1" fontId="7" fillId="2" borderId="1" xfId="0" applyNumberFormat="1" applyFont="1" applyFill="1" applyBorder="1"/>
    <xf numFmtId="1" fontId="3" fillId="0" borderId="0" xfId="0" applyNumberFormat="1" applyFont="1" applyBorder="1"/>
    <xf numFmtId="1" fontId="0" fillId="0" borderId="0" xfId="0" applyNumberFormat="1" applyFont="1"/>
    <xf numFmtId="180" fontId="0" fillId="0" borderId="1" xfId="0" applyNumberFormat="1" applyBorder="1"/>
    <xf numFmtId="1" fontId="0" fillId="2" borderId="1" xfId="0" applyNumberFormat="1" applyFill="1" applyBorder="1"/>
    <xf numFmtId="0" fontId="1" fillId="2" borderId="1" xfId="0" applyFont="1" applyFill="1" applyBorder="1"/>
    <xf numFmtId="0" fontId="3" fillId="4" borderId="1" xfId="0" applyFont="1" applyFill="1" applyBorder="1"/>
    <xf numFmtId="0" fontId="8" fillId="4" borderId="1" xfId="0" applyFont="1" applyFill="1" applyBorder="1"/>
    <xf numFmtId="0" fontId="0" fillId="0" borderId="1" xfId="0" applyBorder="1"/>
    <xf numFmtId="0" fontId="3" fillId="4" borderId="1" xfId="0" applyFont="1" applyFill="1" applyBorder="1" applyAlignment="1"/>
    <xf numFmtId="0" fontId="8" fillId="4" borderId="1" xfId="0" applyFont="1" applyFill="1" applyBorder="1" applyAlignment="1"/>
    <xf numFmtId="0" fontId="0" fillId="4" borderId="1" xfId="0" applyFill="1" applyBorder="1"/>
    <xf numFmtId="0" fontId="3" fillId="0" borderId="1" xfId="0" applyFont="1" applyBorder="1"/>
    <xf numFmtId="1" fontId="9" fillId="0" borderId="1" xfId="0" applyNumberFormat="1" applyFont="1" applyBorder="1"/>
    <xf numFmtId="0" fontId="0" fillId="2" borderId="1" xfId="0" applyFill="1" applyBorder="1"/>
    <xf numFmtId="181" fontId="0" fillId="0" borderId="0" xfId="0" applyNumberFormat="1"/>
    <xf numFmtId="0" fontId="3" fillId="4" borderId="1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/>
    </xf>
    <xf numFmtId="0" fontId="10" fillId="4" borderId="1" xfId="0" applyFont="1" applyFill="1" applyBorder="1"/>
    <xf numFmtId="0" fontId="11" fillId="0" borderId="1" xfId="0" applyFont="1" applyBorder="1"/>
    <xf numFmtId="0" fontId="8" fillId="0" borderId="1" xfId="0" applyFont="1" applyBorder="1"/>
    <xf numFmtId="9" fontId="0" fillId="0" borderId="0" xfId="3" applyFont="1"/>
    <xf numFmtId="1" fontId="0" fillId="0" borderId="10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6"/>
  <sheetViews>
    <sheetView workbookViewId="0">
      <selection activeCell="G2" sqref="G2"/>
    </sheetView>
  </sheetViews>
  <sheetFormatPr defaultColWidth="9" defaultRowHeight="15"/>
  <cols>
    <col min="1" max="1" width="7.71428571428571" style="1" customWidth="1"/>
    <col min="2" max="2" width="42.1428571428571" style="1" customWidth="1"/>
    <col min="3" max="4" width="9.14285714285714" style="1"/>
    <col min="5" max="5" width="12" style="1" customWidth="1"/>
    <col min="6" max="6" width="15.4285714285714" style="1" customWidth="1"/>
    <col min="7" max="7" width="15.1428571428571" style="1" customWidth="1"/>
    <col min="8" max="8" width="12.1428571428571" style="1" customWidth="1"/>
    <col min="9" max="16384" width="9.14285714285714" style="1"/>
  </cols>
  <sheetData>
    <row r="1" ht="15.75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75" spans="1:13">
      <c r="A2" s="3">
        <v>1</v>
      </c>
      <c r="B2" s="3" t="s">
        <v>7</v>
      </c>
      <c r="C2" s="3">
        <v>750</v>
      </c>
      <c r="D2" s="3">
        <v>15410</v>
      </c>
      <c r="E2" s="3">
        <f>(D2-(D2*5%))</f>
        <v>14639.5</v>
      </c>
      <c r="F2" s="3">
        <f>D2/25</f>
        <v>616.4</v>
      </c>
      <c r="G2" s="3">
        <v>1850</v>
      </c>
    </row>
    <row r="3" spans="1:13">
      <c r="A3" s="3">
        <v>2</v>
      </c>
      <c r="B3" s="3" t="s">
        <v>8</v>
      </c>
      <c r="C3" s="3">
        <v>750</v>
      </c>
      <c r="D3" s="3">
        <v>2990</v>
      </c>
      <c r="E3" s="3">
        <f t="shared" ref="E3:E10" si="0">(D3-(D3*5%))</f>
        <v>2840.5</v>
      </c>
      <c r="F3" s="3">
        <f t="shared" ref="F3:F10" si="1">D3/25</f>
        <v>119.6</v>
      </c>
      <c r="G3" s="3">
        <v>550</v>
      </c>
      <c r="I3" s="4" t="s">
        <v>9</v>
      </c>
      <c r="J3" s="5"/>
      <c r="K3" s="5"/>
      <c r="L3" s="5"/>
      <c r="M3" s="6"/>
    </row>
    <row r="4" spans="1:13">
      <c r="A4" s="3">
        <v>3</v>
      </c>
      <c r="B4" s="3" t="s">
        <v>10</v>
      </c>
      <c r="C4" s="3">
        <v>750</v>
      </c>
      <c r="D4" s="3">
        <v>1950</v>
      </c>
      <c r="E4" s="3">
        <f t="shared" si="0"/>
        <v>1852.5</v>
      </c>
      <c r="F4" s="3">
        <f t="shared" si="1"/>
        <v>78</v>
      </c>
      <c r="G4" s="3">
        <v>350</v>
      </c>
      <c r="I4" s="7"/>
      <c r="J4" s="8"/>
      <c r="K4" s="8"/>
      <c r="L4" s="8"/>
      <c r="M4" s="9"/>
    </row>
    <row r="5" spans="1:13">
      <c r="A5" s="3">
        <v>4</v>
      </c>
      <c r="B5" s="3" t="s">
        <v>11</v>
      </c>
      <c r="C5" s="3">
        <v>750</v>
      </c>
      <c r="D5" s="3">
        <v>4700</v>
      </c>
      <c r="E5" s="3">
        <f t="shared" si="0"/>
        <v>4465</v>
      </c>
      <c r="F5" s="3">
        <f t="shared" si="1"/>
        <v>188</v>
      </c>
      <c r="G5" s="3">
        <v>650</v>
      </c>
      <c r="I5" s="7"/>
      <c r="J5" s="8"/>
      <c r="K5" s="8"/>
      <c r="L5" s="8"/>
      <c r="M5" s="9"/>
    </row>
    <row r="6" ht="15.75" spans="1:13">
      <c r="A6" s="3">
        <v>5</v>
      </c>
      <c r="B6" s="3" t="s">
        <v>12</v>
      </c>
      <c r="C6" s="3">
        <v>750</v>
      </c>
      <c r="D6" s="3">
        <v>3790</v>
      </c>
      <c r="E6" s="3">
        <f t="shared" si="0"/>
        <v>3600.5</v>
      </c>
      <c r="F6" s="3">
        <f t="shared" si="1"/>
        <v>151.6</v>
      </c>
      <c r="G6" s="3">
        <v>600</v>
      </c>
      <c r="I6" s="10"/>
      <c r="J6" s="11"/>
      <c r="K6" s="11"/>
      <c r="L6" s="11"/>
      <c r="M6" s="12"/>
    </row>
    <row r="7" spans="1:13">
      <c r="A7" s="3">
        <v>6</v>
      </c>
      <c r="B7" s="3" t="s">
        <v>13</v>
      </c>
      <c r="C7" s="3">
        <v>700</v>
      </c>
      <c r="D7" s="3">
        <v>2500</v>
      </c>
      <c r="E7" s="3">
        <f t="shared" si="0"/>
        <v>2375</v>
      </c>
      <c r="F7" s="3">
        <f t="shared" si="1"/>
        <v>100</v>
      </c>
      <c r="G7" s="3">
        <v>450</v>
      </c>
    </row>
    <row r="8" spans="1:13">
      <c r="A8" s="3">
        <v>7</v>
      </c>
      <c r="B8" s="3" t="s">
        <v>14</v>
      </c>
      <c r="C8" s="3">
        <v>700</v>
      </c>
      <c r="D8" s="3">
        <v>14950</v>
      </c>
      <c r="E8" s="3">
        <f t="shared" si="0"/>
        <v>14202.5</v>
      </c>
      <c r="F8" s="3">
        <f t="shared" si="1"/>
        <v>598</v>
      </c>
      <c r="G8" s="3">
        <v>1800</v>
      </c>
    </row>
    <row r="9" spans="1:13">
      <c r="A9" s="3">
        <v>8</v>
      </c>
      <c r="B9" s="3" t="s">
        <v>15</v>
      </c>
      <c r="C9" s="3">
        <v>750</v>
      </c>
      <c r="D9" s="3">
        <v>3150</v>
      </c>
      <c r="E9" s="3">
        <f t="shared" si="0"/>
        <v>2992.5</v>
      </c>
      <c r="F9" s="3">
        <f t="shared" si="1"/>
        <v>126</v>
      </c>
      <c r="G9" s="3">
        <v>550</v>
      </c>
    </row>
    <row r="10" spans="1:13">
      <c r="A10" s="3">
        <v>9</v>
      </c>
      <c r="B10" s="3" t="s">
        <v>16</v>
      </c>
      <c r="C10" s="3">
        <v>750</v>
      </c>
      <c r="D10" s="3">
        <v>6390</v>
      </c>
      <c r="E10" s="3">
        <f t="shared" si="0"/>
        <v>6070.5</v>
      </c>
      <c r="F10" s="3">
        <f t="shared" si="1"/>
        <v>255.6</v>
      </c>
      <c r="G10" s="3">
        <v>850</v>
      </c>
    </row>
    <row r="11" spans="1:13">
      <c r="A11" s="3"/>
      <c r="B11" s="3"/>
      <c r="C11" s="3"/>
      <c r="D11" s="3"/>
      <c r="E11" s="3"/>
      <c r="F11" s="3"/>
      <c r="G11" s="3"/>
      <c r="H11" s="14">
        <v>29.2</v>
      </c>
      <c r="I11" s="15" t="s">
        <v>17</v>
      </c>
      <c r="J11" s="17"/>
    </row>
    <row r="12" spans="1:13">
      <c r="A12" s="3"/>
      <c r="B12" s="3"/>
      <c r="C12" s="3"/>
      <c r="D12" s="3"/>
      <c r="E12" s="3"/>
      <c r="F12" s="3"/>
      <c r="G12" s="3"/>
      <c r="H12" s="17"/>
    </row>
    <row r="13" ht="15.75" spans="1:13">
      <c r="A13" s="2" t="s">
        <v>0</v>
      </c>
      <c r="B13" s="2" t="s">
        <v>18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6</v>
      </c>
    </row>
    <row r="14" spans="1:13">
      <c r="A14" s="3">
        <v>1</v>
      </c>
      <c r="B14" s="3" t="s">
        <v>19</v>
      </c>
      <c r="C14" s="3">
        <v>700</v>
      </c>
      <c r="D14" s="3">
        <v>3750</v>
      </c>
      <c r="E14" s="3">
        <f>(D14-(D14*5%))</f>
        <v>3562.5</v>
      </c>
      <c r="F14" s="3">
        <f>D14/23</f>
        <v>163.04347826087</v>
      </c>
      <c r="G14" s="3">
        <v>650</v>
      </c>
    </row>
    <row r="15" spans="1:13">
      <c r="A15" s="3"/>
      <c r="B15" s="3"/>
      <c r="C15" s="3"/>
      <c r="D15" s="3"/>
      <c r="E15" s="3"/>
      <c r="F15" s="3"/>
      <c r="G15" s="3"/>
    </row>
    <row r="16" spans="1:13">
      <c r="A16" s="3"/>
      <c r="B16" s="3"/>
      <c r="C16" s="3"/>
      <c r="D16" s="3"/>
      <c r="E16" s="3"/>
      <c r="F16" s="3"/>
      <c r="G16" s="3"/>
    </row>
    <row r="17" spans="1:10">
      <c r="A17" s="3"/>
      <c r="B17" s="3"/>
      <c r="C17" s="3"/>
      <c r="D17" s="3"/>
      <c r="E17" s="3"/>
      <c r="F17" s="3"/>
      <c r="G17" s="3"/>
      <c r="H17" s="14">
        <v>25</v>
      </c>
      <c r="I17" s="15" t="s">
        <v>17</v>
      </c>
    </row>
    <row r="18" ht="15.75" spans="1:10">
      <c r="A18" s="2" t="s">
        <v>0</v>
      </c>
      <c r="B18" s="2" t="s">
        <v>20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</row>
    <row r="19" spans="1:10">
      <c r="A19" s="3">
        <v>1</v>
      </c>
      <c r="B19" s="3" t="s">
        <v>21</v>
      </c>
      <c r="C19" s="3">
        <v>700</v>
      </c>
      <c r="D19" s="3">
        <v>6000</v>
      </c>
      <c r="E19" s="3">
        <f>(D19-(D19*5%))</f>
        <v>5700</v>
      </c>
      <c r="F19" s="3">
        <f>D19/23</f>
        <v>260.869565217391</v>
      </c>
      <c r="G19" s="3">
        <v>850</v>
      </c>
    </row>
    <row r="20" spans="1:10">
      <c r="A20" s="3">
        <v>2</v>
      </c>
      <c r="B20" s="3" t="s">
        <v>22</v>
      </c>
      <c r="C20" s="3">
        <v>700</v>
      </c>
      <c r="D20" s="3">
        <v>4130</v>
      </c>
      <c r="E20" s="3">
        <f t="shared" ref="E20:E31" si="2">(D20-(D20*5%))</f>
        <v>3923.5</v>
      </c>
      <c r="F20" s="3">
        <f t="shared" ref="F20:F23" si="3">D20/23</f>
        <v>179.565217391304</v>
      </c>
      <c r="G20" s="3">
        <v>685</v>
      </c>
    </row>
    <row r="21" spans="1:10">
      <c r="A21" s="3">
        <v>3</v>
      </c>
      <c r="B21" s="3" t="s">
        <v>23</v>
      </c>
      <c r="C21" s="3">
        <v>700</v>
      </c>
      <c r="D21" s="3">
        <v>4510</v>
      </c>
      <c r="E21" s="3">
        <f t="shared" si="2"/>
        <v>4284.5</v>
      </c>
      <c r="F21" s="3">
        <f t="shared" si="3"/>
        <v>196.086956521739</v>
      </c>
      <c r="G21" s="3">
        <v>685</v>
      </c>
    </row>
    <row r="22" spans="1:10">
      <c r="A22" s="3">
        <v>4</v>
      </c>
      <c r="B22" s="3" t="s">
        <v>24</v>
      </c>
      <c r="C22" s="3">
        <v>700</v>
      </c>
      <c r="D22" s="3">
        <v>4150</v>
      </c>
      <c r="E22" s="3">
        <f t="shared" si="2"/>
        <v>3942.5</v>
      </c>
      <c r="F22" s="3">
        <f t="shared" si="3"/>
        <v>180.434782608696</v>
      </c>
      <c r="G22" s="3">
        <v>685</v>
      </c>
    </row>
    <row r="23" spans="1:10">
      <c r="A23" s="3">
        <v>5</v>
      </c>
      <c r="B23" s="3" t="s">
        <v>25</v>
      </c>
      <c r="C23" s="3">
        <v>700</v>
      </c>
      <c r="D23" s="3">
        <v>9140</v>
      </c>
      <c r="E23" s="3">
        <f t="shared" si="2"/>
        <v>8683</v>
      </c>
      <c r="F23" s="3">
        <f t="shared" si="3"/>
        <v>397.391304347826</v>
      </c>
      <c r="G23" s="3">
        <v>920</v>
      </c>
    </row>
    <row r="24" spans="1:10">
      <c r="A24" s="3">
        <v>6</v>
      </c>
      <c r="B24" s="3" t="s">
        <v>26</v>
      </c>
      <c r="C24" s="3">
        <v>750</v>
      </c>
      <c r="D24" s="3">
        <v>3450</v>
      </c>
      <c r="E24" s="3">
        <f t="shared" si="2"/>
        <v>3277.5</v>
      </c>
      <c r="F24" s="3">
        <f>D24/25</f>
        <v>138</v>
      </c>
      <c r="G24" s="3">
        <v>525</v>
      </c>
    </row>
    <row r="25" spans="1:10">
      <c r="A25" s="3">
        <v>7</v>
      </c>
      <c r="B25" s="3" t="s">
        <v>27</v>
      </c>
      <c r="C25" s="3">
        <v>750</v>
      </c>
      <c r="D25" s="3">
        <v>4750</v>
      </c>
      <c r="E25" s="3">
        <f t="shared" si="2"/>
        <v>4512.5</v>
      </c>
      <c r="F25" s="3">
        <f t="shared" ref="F25:F31" si="4">D25/25</f>
        <v>190</v>
      </c>
      <c r="G25" s="3">
        <v>685</v>
      </c>
    </row>
    <row r="26" spans="1:10">
      <c r="A26" s="3">
        <v>8</v>
      </c>
      <c r="B26" s="3" t="s">
        <v>28</v>
      </c>
      <c r="C26" s="3">
        <v>750</v>
      </c>
      <c r="D26" s="3">
        <v>4780</v>
      </c>
      <c r="E26" s="3">
        <f t="shared" si="2"/>
        <v>4541</v>
      </c>
      <c r="F26" s="3">
        <f t="shared" si="4"/>
        <v>191.2</v>
      </c>
      <c r="G26" s="3">
        <v>685</v>
      </c>
    </row>
    <row r="27" spans="1:10">
      <c r="A27" s="3">
        <v>9</v>
      </c>
      <c r="B27" s="3" t="s">
        <v>29</v>
      </c>
      <c r="C27" s="3">
        <v>750</v>
      </c>
      <c r="D27" s="3">
        <v>4780</v>
      </c>
      <c r="E27" s="3">
        <f t="shared" si="2"/>
        <v>4541</v>
      </c>
      <c r="F27" s="3">
        <f t="shared" si="4"/>
        <v>191.2</v>
      </c>
      <c r="G27" s="3">
        <v>685</v>
      </c>
    </row>
    <row r="28" spans="1:10">
      <c r="A28" s="3">
        <v>10</v>
      </c>
      <c r="B28" s="3" t="s">
        <v>30</v>
      </c>
      <c r="C28" s="3">
        <v>750</v>
      </c>
      <c r="D28" s="3">
        <v>4190</v>
      </c>
      <c r="E28" s="3">
        <f t="shared" si="2"/>
        <v>3980.5</v>
      </c>
      <c r="F28" s="3">
        <f t="shared" si="4"/>
        <v>167.6</v>
      </c>
      <c r="G28" s="3">
        <v>590</v>
      </c>
    </row>
    <row r="29" spans="1:10">
      <c r="A29" s="3">
        <v>11</v>
      </c>
      <c r="B29" s="3" t="s">
        <v>31</v>
      </c>
      <c r="C29" s="3">
        <v>750</v>
      </c>
      <c r="D29" s="3">
        <v>5270</v>
      </c>
      <c r="E29" s="3">
        <f t="shared" si="2"/>
        <v>5006.5</v>
      </c>
      <c r="F29" s="3">
        <f t="shared" si="4"/>
        <v>210.8</v>
      </c>
      <c r="G29" s="3">
        <v>800</v>
      </c>
    </row>
    <row r="30" spans="1:10">
      <c r="A30" s="3">
        <v>12</v>
      </c>
      <c r="B30" s="3" t="s">
        <v>32</v>
      </c>
      <c r="C30" s="3">
        <v>750</v>
      </c>
      <c r="D30" s="3">
        <v>6500</v>
      </c>
      <c r="E30" s="3">
        <f t="shared" si="2"/>
        <v>6175</v>
      </c>
      <c r="F30" s="3">
        <f t="shared" si="4"/>
        <v>260</v>
      </c>
      <c r="G30" s="3">
        <v>800</v>
      </c>
    </row>
    <row r="31" spans="1:10">
      <c r="A31" s="3">
        <v>13</v>
      </c>
      <c r="B31" s="3" t="s">
        <v>33</v>
      </c>
      <c r="C31" s="3">
        <v>750</v>
      </c>
      <c r="D31" s="3">
        <v>4750</v>
      </c>
      <c r="E31" s="3">
        <f t="shared" si="2"/>
        <v>4512.5</v>
      </c>
      <c r="F31" s="3">
        <f t="shared" si="4"/>
        <v>190</v>
      </c>
      <c r="G31" s="3">
        <v>625</v>
      </c>
    </row>
    <row r="32" spans="1:10">
      <c r="A32" s="3"/>
      <c r="B32" s="3"/>
      <c r="C32" s="3"/>
      <c r="D32" s="3"/>
      <c r="E32" s="3"/>
      <c r="F32" s="3"/>
      <c r="G32" s="3"/>
      <c r="H32" s="14">
        <v>29.8</v>
      </c>
      <c r="I32" s="15" t="s">
        <v>17</v>
      </c>
      <c r="J32" s="17"/>
    </row>
    <row r="33" ht="15.75" spans="1:7">
      <c r="A33" s="2" t="s">
        <v>0</v>
      </c>
      <c r="B33" s="2" t="s">
        <v>34</v>
      </c>
      <c r="C33" s="2" t="s">
        <v>2</v>
      </c>
      <c r="D33" s="2" t="s">
        <v>3</v>
      </c>
      <c r="E33" s="2" t="s">
        <v>4</v>
      </c>
      <c r="F33" s="2" t="s">
        <v>5</v>
      </c>
      <c r="G33" s="2" t="s">
        <v>6</v>
      </c>
    </row>
    <row r="34" spans="1:7">
      <c r="A34" s="3">
        <v>1</v>
      </c>
      <c r="B34" s="3" t="s">
        <v>35</v>
      </c>
      <c r="C34" s="3">
        <v>750</v>
      </c>
      <c r="D34" s="3">
        <v>2500</v>
      </c>
      <c r="E34" s="3">
        <f>(D34-(D34*5%))</f>
        <v>2375</v>
      </c>
      <c r="F34" s="3">
        <f>D34/25</f>
        <v>100</v>
      </c>
      <c r="G34" s="3">
        <v>375</v>
      </c>
    </row>
    <row r="35" spans="1:7">
      <c r="A35" s="3">
        <v>2</v>
      </c>
      <c r="B35" s="3" t="s">
        <v>36</v>
      </c>
      <c r="C35" s="3">
        <v>750</v>
      </c>
      <c r="D35" s="3">
        <v>1830</v>
      </c>
      <c r="E35" s="3">
        <f t="shared" ref="E35:E50" si="5">(D35-(D35*5%))</f>
        <v>1738.5</v>
      </c>
      <c r="F35" s="3">
        <f t="shared" ref="F35:F50" si="6">D35/25</f>
        <v>73.2</v>
      </c>
      <c r="G35" s="3">
        <v>325</v>
      </c>
    </row>
    <row r="36" spans="1:7">
      <c r="A36" s="3">
        <v>3</v>
      </c>
      <c r="B36" s="3" t="s">
        <v>37</v>
      </c>
      <c r="C36" s="3">
        <v>750</v>
      </c>
      <c r="D36" s="3">
        <v>1950</v>
      </c>
      <c r="E36" s="3">
        <f t="shared" si="5"/>
        <v>1852.5</v>
      </c>
      <c r="F36" s="3">
        <f t="shared" si="6"/>
        <v>78</v>
      </c>
      <c r="G36" s="3">
        <v>350</v>
      </c>
    </row>
    <row r="37" spans="1:7">
      <c r="A37" s="3">
        <v>4</v>
      </c>
      <c r="B37" s="3" t="s">
        <v>38</v>
      </c>
      <c r="C37" s="3">
        <v>750</v>
      </c>
      <c r="D37" s="3">
        <v>1890</v>
      </c>
      <c r="E37" s="3">
        <f t="shared" si="5"/>
        <v>1795.5</v>
      </c>
      <c r="F37" s="3">
        <f t="shared" si="6"/>
        <v>75.6</v>
      </c>
      <c r="G37" s="3">
        <v>325</v>
      </c>
    </row>
    <row r="38" spans="1:7">
      <c r="A38" s="3">
        <v>5</v>
      </c>
      <c r="B38" s="3" t="s">
        <v>39</v>
      </c>
      <c r="C38" s="3">
        <v>750</v>
      </c>
      <c r="D38" s="3">
        <v>3460</v>
      </c>
      <c r="E38" s="3">
        <f t="shared" si="5"/>
        <v>3287</v>
      </c>
      <c r="F38" s="3">
        <f t="shared" si="6"/>
        <v>138.4</v>
      </c>
      <c r="G38" s="3">
        <v>415</v>
      </c>
    </row>
    <row r="39" spans="1:7">
      <c r="A39" s="3">
        <v>6</v>
      </c>
      <c r="B39" s="3" t="s">
        <v>40</v>
      </c>
      <c r="C39" s="3">
        <v>750</v>
      </c>
      <c r="D39" s="3">
        <v>2860</v>
      </c>
      <c r="E39" s="3">
        <f t="shared" si="5"/>
        <v>2717</v>
      </c>
      <c r="F39" s="3">
        <f t="shared" si="6"/>
        <v>114.4</v>
      </c>
      <c r="G39" s="3">
        <v>375</v>
      </c>
    </row>
    <row r="40" spans="1:7">
      <c r="A40" s="3">
        <v>7</v>
      </c>
      <c r="B40" s="3" t="s">
        <v>41</v>
      </c>
      <c r="C40" s="3">
        <v>750</v>
      </c>
      <c r="D40" s="3">
        <v>1880</v>
      </c>
      <c r="E40" s="3">
        <f t="shared" si="5"/>
        <v>1786</v>
      </c>
      <c r="F40" s="3">
        <f t="shared" si="6"/>
        <v>75.2</v>
      </c>
      <c r="G40" s="3">
        <v>350</v>
      </c>
    </row>
    <row r="41" spans="1:7">
      <c r="A41" s="3">
        <v>8</v>
      </c>
      <c r="B41" s="3" t="s">
        <v>42</v>
      </c>
      <c r="C41" s="3">
        <v>750</v>
      </c>
      <c r="D41" s="3">
        <v>1690</v>
      </c>
      <c r="E41" s="3">
        <f t="shared" si="5"/>
        <v>1605.5</v>
      </c>
      <c r="F41" s="3">
        <f t="shared" si="6"/>
        <v>67.6</v>
      </c>
      <c r="G41" s="3">
        <v>325</v>
      </c>
    </row>
    <row r="42" spans="1:7">
      <c r="A42" s="3">
        <v>9</v>
      </c>
      <c r="B42" s="3" t="s">
        <v>43</v>
      </c>
      <c r="C42" s="3">
        <v>750</v>
      </c>
      <c r="D42" s="3">
        <v>2530</v>
      </c>
      <c r="E42" s="3">
        <f t="shared" si="5"/>
        <v>2403.5</v>
      </c>
      <c r="F42" s="3">
        <f t="shared" si="6"/>
        <v>101.2</v>
      </c>
      <c r="G42" s="3">
        <v>350</v>
      </c>
    </row>
    <row r="43" spans="1:7">
      <c r="A43" s="3">
        <v>10</v>
      </c>
      <c r="B43" s="3" t="s">
        <v>44</v>
      </c>
      <c r="C43" s="3">
        <v>750</v>
      </c>
      <c r="D43" s="3">
        <v>1880</v>
      </c>
      <c r="E43" s="3">
        <f t="shared" si="5"/>
        <v>1786</v>
      </c>
      <c r="F43" s="3">
        <f t="shared" si="6"/>
        <v>75.2</v>
      </c>
      <c r="G43" s="3">
        <v>325</v>
      </c>
    </row>
    <row r="44" spans="1:7">
      <c r="A44" s="3">
        <v>11</v>
      </c>
      <c r="B44" s="3" t="s">
        <v>45</v>
      </c>
      <c r="C44" s="3">
        <v>750</v>
      </c>
      <c r="D44" s="3">
        <v>2390</v>
      </c>
      <c r="E44" s="3">
        <f t="shared" si="5"/>
        <v>2270.5</v>
      </c>
      <c r="F44" s="3">
        <f t="shared" si="6"/>
        <v>95.6</v>
      </c>
      <c r="G44" s="3">
        <v>325</v>
      </c>
    </row>
    <row r="45" spans="1:7">
      <c r="A45" s="3">
        <v>12</v>
      </c>
      <c r="B45" s="3" t="s">
        <v>46</v>
      </c>
      <c r="C45" s="3">
        <v>750</v>
      </c>
      <c r="D45" s="3">
        <v>1770</v>
      </c>
      <c r="E45" s="3">
        <f t="shared" si="5"/>
        <v>1681.5</v>
      </c>
      <c r="F45" s="3">
        <f t="shared" si="6"/>
        <v>70.8</v>
      </c>
      <c r="G45" s="3">
        <v>315</v>
      </c>
    </row>
    <row r="46" spans="1:7">
      <c r="A46" s="3">
        <v>13</v>
      </c>
      <c r="B46" s="3" t="s">
        <v>47</v>
      </c>
      <c r="C46" s="3">
        <v>750</v>
      </c>
      <c r="D46" s="3">
        <v>1940</v>
      </c>
      <c r="E46" s="3">
        <f t="shared" si="5"/>
        <v>1843</v>
      </c>
      <c r="F46" s="3">
        <f t="shared" si="6"/>
        <v>77.6</v>
      </c>
      <c r="G46" s="3">
        <v>350</v>
      </c>
    </row>
    <row r="47" spans="1:7">
      <c r="A47" s="3">
        <v>14</v>
      </c>
      <c r="B47" s="3" t="s">
        <v>48</v>
      </c>
      <c r="C47" s="3">
        <v>750</v>
      </c>
      <c r="D47" s="3">
        <v>1400</v>
      </c>
      <c r="E47" s="3">
        <f t="shared" si="5"/>
        <v>1330</v>
      </c>
      <c r="F47" s="3">
        <f t="shared" si="6"/>
        <v>56</v>
      </c>
      <c r="G47" s="3">
        <v>300</v>
      </c>
    </row>
    <row r="48" spans="1:7">
      <c r="A48" s="3">
        <v>15</v>
      </c>
      <c r="B48" s="3" t="s">
        <v>49</v>
      </c>
      <c r="C48" s="3">
        <v>750</v>
      </c>
      <c r="D48" s="3">
        <v>1890</v>
      </c>
      <c r="E48" s="3">
        <f t="shared" si="5"/>
        <v>1795.5</v>
      </c>
      <c r="F48" s="3">
        <f t="shared" si="6"/>
        <v>75.6</v>
      </c>
      <c r="G48" s="3">
        <v>350</v>
      </c>
    </row>
    <row r="49" spans="1:10">
      <c r="A49" s="3">
        <v>16</v>
      </c>
      <c r="B49" s="3" t="s">
        <v>50</v>
      </c>
      <c r="C49" s="3">
        <v>1000</v>
      </c>
      <c r="D49" s="3">
        <v>3560</v>
      </c>
      <c r="E49" s="3">
        <f t="shared" si="5"/>
        <v>3382</v>
      </c>
      <c r="F49" s="3">
        <f>D49/33</f>
        <v>107.878787878788</v>
      </c>
      <c r="G49" s="3">
        <v>450</v>
      </c>
    </row>
    <row r="50" spans="1:10">
      <c r="A50" s="3">
        <v>17</v>
      </c>
      <c r="B50" s="3" t="s">
        <v>51</v>
      </c>
      <c r="C50" s="3">
        <v>750</v>
      </c>
      <c r="D50" s="3">
        <v>2790</v>
      </c>
      <c r="E50" s="3">
        <f t="shared" si="5"/>
        <v>2650.5</v>
      </c>
      <c r="F50" s="3">
        <f t="shared" si="6"/>
        <v>111.6</v>
      </c>
      <c r="G50" s="3">
        <v>450</v>
      </c>
    </row>
    <row r="51" spans="1:10">
      <c r="A51" s="3"/>
      <c r="B51" s="3"/>
      <c r="C51" s="3"/>
      <c r="D51" s="3"/>
      <c r="E51" s="3"/>
      <c r="F51" s="3"/>
      <c r="G51" s="3"/>
      <c r="H51" s="14">
        <v>24.7</v>
      </c>
      <c r="I51" s="15" t="s">
        <v>17</v>
      </c>
      <c r="J51" s="17"/>
    </row>
    <row r="52" ht="15.75" spans="1:10">
      <c r="A52" s="2" t="s">
        <v>0</v>
      </c>
      <c r="B52" s="2" t="s">
        <v>52</v>
      </c>
      <c r="C52" s="2" t="s">
        <v>2</v>
      </c>
      <c r="D52" s="2" t="s">
        <v>3</v>
      </c>
      <c r="E52" s="2" t="s">
        <v>4</v>
      </c>
      <c r="F52" s="2" t="s">
        <v>5</v>
      </c>
      <c r="G52" s="2" t="s">
        <v>6</v>
      </c>
    </row>
    <row r="53" spans="1:10">
      <c r="A53" s="3">
        <v>1</v>
      </c>
      <c r="B53" s="3" t="s">
        <v>53</v>
      </c>
      <c r="C53" s="3">
        <v>750</v>
      </c>
      <c r="D53" s="3">
        <v>3770</v>
      </c>
      <c r="E53" s="3">
        <f>(D53-(D53*5%))</f>
        <v>3581.5</v>
      </c>
      <c r="F53" s="3">
        <f>D53/25</f>
        <v>150.8</v>
      </c>
      <c r="G53" s="3">
        <v>610</v>
      </c>
    </row>
    <row r="54" spans="1:10">
      <c r="A54" s="3">
        <v>2</v>
      </c>
      <c r="B54" s="3" t="s">
        <v>54</v>
      </c>
      <c r="C54" s="3">
        <v>750</v>
      </c>
      <c r="D54" s="3">
        <v>2920</v>
      </c>
      <c r="E54" s="3">
        <f t="shared" ref="E54:E60" si="7">(D54-(D54*5%))</f>
        <v>2774</v>
      </c>
      <c r="F54" s="3">
        <f t="shared" ref="F54:F60" si="8">D54/25</f>
        <v>116.8</v>
      </c>
      <c r="G54" s="3">
        <v>490</v>
      </c>
    </row>
    <row r="55" spans="1:10">
      <c r="A55" s="3">
        <v>3</v>
      </c>
      <c r="B55" s="3" t="s">
        <v>55</v>
      </c>
      <c r="C55" s="3">
        <v>750</v>
      </c>
      <c r="D55" s="3">
        <v>2920</v>
      </c>
      <c r="E55" s="3">
        <f t="shared" si="7"/>
        <v>2774</v>
      </c>
      <c r="F55" s="3">
        <f t="shared" si="8"/>
        <v>116.8</v>
      </c>
      <c r="G55" s="3">
        <v>420</v>
      </c>
    </row>
    <row r="56" spans="1:10">
      <c r="A56" s="3">
        <v>4</v>
      </c>
      <c r="B56" s="3" t="s">
        <v>56</v>
      </c>
      <c r="C56" s="3">
        <v>750</v>
      </c>
      <c r="D56" s="3">
        <v>2920</v>
      </c>
      <c r="E56" s="3">
        <f t="shared" si="7"/>
        <v>2774</v>
      </c>
      <c r="F56" s="3">
        <f t="shared" si="8"/>
        <v>116.8</v>
      </c>
      <c r="G56" s="3">
        <v>420</v>
      </c>
    </row>
    <row r="57" spans="1:10">
      <c r="A57" s="3">
        <v>5</v>
      </c>
      <c r="B57" s="3" t="s">
        <v>57</v>
      </c>
      <c r="C57" s="3">
        <v>750</v>
      </c>
      <c r="D57" s="3">
        <v>2920</v>
      </c>
      <c r="E57" s="3">
        <f t="shared" si="7"/>
        <v>2774</v>
      </c>
      <c r="F57" s="3">
        <f t="shared" si="8"/>
        <v>116.8</v>
      </c>
      <c r="G57" s="3">
        <v>420</v>
      </c>
    </row>
    <row r="58" spans="1:10">
      <c r="A58" s="3">
        <v>6</v>
      </c>
      <c r="B58" s="3" t="s">
        <v>58</v>
      </c>
      <c r="C58" s="3">
        <v>750</v>
      </c>
      <c r="D58" s="3">
        <v>2940</v>
      </c>
      <c r="E58" s="3">
        <f t="shared" si="7"/>
        <v>2793</v>
      </c>
      <c r="F58" s="3">
        <f t="shared" si="8"/>
        <v>117.6</v>
      </c>
      <c r="G58" s="3">
        <v>460</v>
      </c>
    </row>
    <row r="59" spans="1:10">
      <c r="A59" s="3">
        <v>7</v>
      </c>
      <c r="B59" s="3" t="s">
        <v>59</v>
      </c>
      <c r="C59" s="3">
        <v>750</v>
      </c>
      <c r="D59" s="3">
        <v>1940</v>
      </c>
      <c r="E59" s="3">
        <f t="shared" si="7"/>
        <v>1843</v>
      </c>
      <c r="F59" s="3">
        <f t="shared" si="8"/>
        <v>77.6</v>
      </c>
      <c r="G59" s="3">
        <v>325</v>
      </c>
    </row>
    <row r="60" spans="1:10">
      <c r="A60" s="3">
        <v>8</v>
      </c>
      <c r="B60" s="3" t="s">
        <v>60</v>
      </c>
      <c r="C60" s="3">
        <v>750</v>
      </c>
      <c r="D60" s="3">
        <v>3040</v>
      </c>
      <c r="E60" s="3">
        <f t="shared" si="7"/>
        <v>2888</v>
      </c>
      <c r="F60" s="3">
        <f t="shared" si="8"/>
        <v>121.6</v>
      </c>
      <c r="G60" s="3">
        <v>410</v>
      </c>
    </row>
    <row r="61" spans="1:10">
      <c r="A61" s="3"/>
      <c r="B61" s="3"/>
      <c r="C61" s="3"/>
      <c r="D61" s="3"/>
      <c r="E61" s="3"/>
      <c r="F61" s="3"/>
      <c r="G61" s="3"/>
      <c r="H61" s="14">
        <v>26.3</v>
      </c>
      <c r="I61" s="15" t="s">
        <v>17</v>
      </c>
      <c r="J61" s="17"/>
    </row>
    <row r="62" spans="1:10">
      <c r="A62" s="3"/>
      <c r="B62" s="3"/>
      <c r="C62" s="3"/>
      <c r="D62" s="3"/>
      <c r="E62" s="3"/>
      <c r="F62" s="3"/>
      <c r="G62" s="3"/>
    </row>
    <row r="63" spans="1:10">
      <c r="A63" s="3"/>
      <c r="B63" s="3"/>
      <c r="C63" s="3"/>
      <c r="D63" s="3"/>
      <c r="E63" s="3"/>
      <c r="F63" s="3"/>
      <c r="G63" s="3"/>
    </row>
    <row r="64" spans="1:10">
      <c r="A64" s="3"/>
      <c r="B64" s="3"/>
      <c r="C64" s="3"/>
      <c r="D64" s="3"/>
      <c r="E64" s="3"/>
      <c r="F64" s="3"/>
      <c r="G64" s="3"/>
    </row>
    <row r="65" ht="15.75" spans="1:10">
      <c r="A65" s="2" t="s">
        <v>0</v>
      </c>
      <c r="B65" s="2" t="s">
        <v>61</v>
      </c>
      <c r="C65" s="2" t="s">
        <v>2</v>
      </c>
      <c r="D65" s="2" t="s">
        <v>3</v>
      </c>
      <c r="E65" s="2" t="s">
        <v>4</v>
      </c>
      <c r="F65" s="2" t="s">
        <v>5</v>
      </c>
      <c r="G65" s="2" t="s">
        <v>6</v>
      </c>
    </row>
    <row r="66" spans="1:10">
      <c r="A66" s="3">
        <v>1</v>
      </c>
      <c r="B66" s="3" t="s">
        <v>62</v>
      </c>
      <c r="C66" s="3">
        <v>750</v>
      </c>
      <c r="D66" s="3">
        <v>1130</v>
      </c>
      <c r="E66" s="3">
        <f>(D66-(D66*5%))</f>
        <v>1073.5</v>
      </c>
      <c r="F66" s="3">
        <f>D66/25</f>
        <v>45.2</v>
      </c>
      <c r="G66" s="3">
        <v>245</v>
      </c>
    </row>
    <row r="67" spans="1:10">
      <c r="A67" s="3">
        <v>2</v>
      </c>
      <c r="B67" s="3" t="s">
        <v>63</v>
      </c>
      <c r="C67" s="3">
        <v>750</v>
      </c>
      <c r="D67" s="3">
        <v>1110</v>
      </c>
      <c r="E67" s="3">
        <f t="shared" ref="E67:E70" si="9">(D67-(D67*5%))</f>
        <v>1054.5</v>
      </c>
      <c r="F67" s="3">
        <f t="shared" ref="F67:F70" si="10">D67/25</f>
        <v>44.4</v>
      </c>
      <c r="G67" s="3">
        <v>245</v>
      </c>
    </row>
    <row r="68" spans="1:10">
      <c r="A68" s="3">
        <v>3</v>
      </c>
      <c r="B68" s="3" t="s">
        <v>64</v>
      </c>
      <c r="C68" s="3">
        <v>750</v>
      </c>
      <c r="D68" s="3">
        <v>990</v>
      </c>
      <c r="E68" s="3">
        <f t="shared" si="9"/>
        <v>940.5</v>
      </c>
      <c r="F68" s="3">
        <f t="shared" si="10"/>
        <v>39.6</v>
      </c>
      <c r="G68" s="3">
        <v>245</v>
      </c>
    </row>
    <row r="69" spans="1:10">
      <c r="A69" s="3">
        <v>4</v>
      </c>
      <c r="B69" s="3" t="s">
        <v>65</v>
      </c>
      <c r="C69" s="3">
        <v>750</v>
      </c>
      <c r="D69" s="3">
        <v>1150</v>
      </c>
      <c r="E69" s="3">
        <f t="shared" si="9"/>
        <v>1092.5</v>
      </c>
      <c r="F69" s="3">
        <f t="shared" si="10"/>
        <v>46</v>
      </c>
      <c r="G69" s="3">
        <v>250</v>
      </c>
    </row>
    <row r="70" spans="1:10">
      <c r="A70" s="3">
        <v>5</v>
      </c>
      <c r="B70" s="3" t="s">
        <v>66</v>
      </c>
      <c r="C70" s="3">
        <v>750</v>
      </c>
      <c r="D70" s="3">
        <v>950</v>
      </c>
      <c r="E70" s="3">
        <f t="shared" si="9"/>
        <v>902.5</v>
      </c>
      <c r="F70" s="3">
        <f t="shared" si="10"/>
        <v>38</v>
      </c>
      <c r="G70" s="3">
        <v>245</v>
      </c>
    </row>
    <row r="71" spans="1:10">
      <c r="A71" s="3"/>
      <c r="B71" s="3"/>
      <c r="C71" s="3"/>
      <c r="D71" s="3"/>
      <c r="E71" s="3"/>
      <c r="F71" s="3"/>
      <c r="G71" s="3"/>
      <c r="H71" s="14">
        <v>17.3</v>
      </c>
      <c r="I71" s="15" t="s">
        <v>17</v>
      </c>
      <c r="J71" s="17"/>
    </row>
    <row r="72" spans="1:10">
      <c r="A72" s="3"/>
      <c r="B72" s="3"/>
      <c r="C72" s="3"/>
      <c r="D72" s="3"/>
      <c r="E72" s="3"/>
      <c r="F72" s="3"/>
      <c r="G72" s="3"/>
    </row>
    <row r="73" spans="1:10">
      <c r="A73" s="3"/>
      <c r="B73" s="3"/>
      <c r="C73" s="3"/>
      <c r="D73" s="3"/>
      <c r="E73" s="3"/>
      <c r="F73" s="3"/>
      <c r="G73" s="3"/>
    </row>
    <row r="74" spans="1:10">
      <c r="A74" s="3"/>
      <c r="B74" s="3"/>
      <c r="C74" s="3"/>
      <c r="D74" s="3"/>
      <c r="E74" s="3"/>
      <c r="F74" s="3"/>
      <c r="G74" s="3"/>
    </row>
    <row r="75" spans="1:10">
      <c r="A75" s="3"/>
      <c r="B75" s="3"/>
      <c r="C75" s="3"/>
      <c r="D75" s="3"/>
      <c r="E75" s="3"/>
      <c r="F75" s="3"/>
      <c r="G75" s="3"/>
    </row>
    <row r="76" ht="15.75" spans="1:10">
      <c r="A76" s="2" t="s">
        <v>0</v>
      </c>
      <c r="B76" s="2" t="s">
        <v>67</v>
      </c>
      <c r="C76" s="2" t="s">
        <v>2</v>
      </c>
      <c r="D76" s="2" t="s">
        <v>3</v>
      </c>
      <c r="E76" s="2" t="s">
        <v>4</v>
      </c>
      <c r="F76" s="2" t="s">
        <v>5</v>
      </c>
      <c r="G76" s="2" t="s">
        <v>6</v>
      </c>
    </row>
    <row r="77" spans="1:10">
      <c r="A77" s="3">
        <v>1</v>
      </c>
      <c r="B77" s="3" t="s">
        <v>68</v>
      </c>
      <c r="C77" s="3">
        <v>750</v>
      </c>
      <c r="D77" s="3">
        <v>2180</v>
      </c>
      <c r="E77" s="3">
        <f>(D77-(D77*5%))</f>
        <v>2071</v>
      </c>
      <c r="F77" s="3">
        <f>D77/25</f>
        <v>87.2</v>
      </c>
      <c r="G77" s="3">
        <v>325</v>
      </c>
    </row>
    <row r="78" spans="1:10">
      <c r="A78" s="3">
        <v>2</v>
      </c>
      <c r="B78" s="3" t="s">
        <v>69</v>
      </c>
      <c r="C78" s="3">
        <v>750</v>
      </c>
      <c r="D78" s="3">
        <v>2700</v>
      </c>
      <c r="E78" s="3">
        <f t="shared" ref="E78:E80" si="11">(D78-(D78*5%))</f>
        <v>2565</v>
      </c>
      <c r="F78" s="3">
        <f t="shared" ref="F78:F79" si="12">D78/25</f>
        <v>108</v>
      </c>
      <c r="G78" s="3">
        <v>350</v>
      </c>
    </row>
    <row r="79" spans="1:10">
      <c r="A79" s="3">
        <v>3</v>
      </c>
      <c r="B79" s="3" t="s">
        <v>70</v>
      </c>
      <c r="C79" s="3">
        <v>750</v>
      </c>
      <c r="D79" s="3">
        <v>3490</v>
      </c>
      <c r="E79" s="3">
        <f t="shared" si="11"/>
        <v>3315.5</v>
      </c>
      <c r="F79" s="3">
        <f t="shared" si="12"/>
        <v>139.6</v>
      </c>
      <c r="G79" s="3">
        <v>450</v>
      </c>
    </row>
    <row r="80" spans="1:10">
      <c r="A80" s="3">
        <v>4</v>
      </c>
      <c r="B80" s="3" t="s">
        <v>71</v>
      </c>
      <c r="C80" s="3">
        <v>700</v>
      </c>
      <c r="D80" s="3">
        <v>2500</v>
      </c>
      <c r="E80" s="3">
        <f t="shared" si="11"/>
        <v>2375</v>
      </c>
      <c r="F80" s="3">
        <f>D80/23</f>
        <v>108.695652173913</v>
      </c>
      <c r="G80" s="3">
        <v>350</v>
      </c>
    </row>
    <row r="81" spans="1:10">
      <c r="A81" s="3"/>
      <c r="B81" s="3"/>
      <c r="C81" s="3"/>
      <c r="D81" s="3"/>
      <c r="E81" s="3"/>
      <c r="F81" s="3"/>
      <c r="G81" s="3"/>
      <c r="H81" s="14">
        <v>30.1</v>
      </c>
      <c r="I81" s="15" t="s">
        <v>17</v>
      </c>
      <c r="J81" s="17"/>
    </row>
    <row r="82" spans="1:10">
      <c r="A82" s="3"/>
      <c r="B82" s="3"/>
      <c r="C82" s="3"/>
      <c r="D82" s="3"/>
      <c r="E82" s="3"/>
      <c r="F82" s="3"/>
      <c r="G82" s="3"/>
    </row>
    <row r="83" spans="1:10">
      <c r="A83" s="3"/>
      <c r="B83" s="3"/>
      <c r="C83" s="3"/>
      <c r="D83" s="3"/>
      <c r="E83" s="3"/>
      <c r="F83" s="3"/>
      <c r="G83" s="3"/>
    </row>
    <row r="84" spans="1:10">
      <c r="A84" s="3"/>
      <c r="B84" s="3"/>
      <c r="C84" s="3"/>
      <c r="D84" s="3"/>
      <c r="E84" s="3"/>
      <c r="F84" s="3"/>
      <c r="G84" s="3"/>
    </row>
    <row r="85" spans="1:10">
      <c r="A85" s="3"/>
      <c r="B85" s="3"/>
      <c r="C85" s="3"/>
      <c r="D85" s="3"/>
      <c r="E85" s="3"/>
      <c r="F85" s="3"/>
      <c r="G85" s="3"/>
    </row>
    <row r="86" ht="15.75" spans="1:10">
      <c r="A86" s="2" t="s">
        <v>0</v>
      </c>
      <c r="B86" s="2" t="s">
        <v>72</v>
      </c>
      <c r="C86" s="2" t="s">
        <v>2</v>
      </c>
      <c r="D86" s="2" t="s">
        <v>3</v>
      </c>
      <c r="E86" s="2" t="s">
        <v>4</v>
      </c>
      <c r="F86" s="2" t="s">
        <v>5</v>
      </c>
      <c r="G86" s="2" t="s">
        <v>6</v>
      </c>
    </row>
    <row r="87" spans="1:10">
      <c r="A87" s="3">
        <v>1</v>
      </c>
      <c r="B87" s="3" t="s">
        <v>73</v>
      </c>
      <c r="C87" s="3">
        <v>700</v>
      </c>
      <c r="D87" s="3">
        <v>6062</v>
      </c>
      <c r="E87" s="3">
        <f>(D87-(D87*5%))</f>
        <v>5758.9</v>
      </c>
      <c r="F87" s="3">
        <f>D87/23</f>
        <v>263.565217391304</v>
      </c>
      <c r="G87" s="3">
        <v>900</v>
      </c>
    </row>
    <row r="88" spans="1:10">
      <c r="A88" s="3">
        <v>2</v>
      </c>
      <c r="B88" s="3" t="s">
        <v>74</v>
      </c>
      <c r="C88" s="3">
        <v>700</v>
      </c>
      <c r="D88" s="3">
        <v>4250</v>
      </c>
      <c r="E88" s="3">
        <f t="shared" ref="E88:E90" si="13">(D88-(D88*5%))</f>
        <v>4037.5</v>
      </c>
      <c r="F88" s="3">
        <f>D88/17</f>
        <v>250</v>
      </c>
      <c r="G88" s="3">
        <v>850</v>
      </c>
    </row>
    <row r="89" spans="1:10">
      <c r="A89" s="3">
        <v>3</v>
      </c>
      <c r="B89" s="3" t="s">
        <v>75</v>
      </c>
      <c r="C89" s="3">
        <v>700</v>
      </c>
      <c r="D89" s="3">
        <v>3630</v>
      </c>
      <c r="E89" s="3">
        <f t="shared" si="13"/>
        <v>3448.5</v>
      </c>
      <c r="F89" s="3">
        <f>D89/23</f>
        <v>157.826086956522</v>
      </c>
      <c r="G89" s="3">
        <v>530</v>
      </c>
    </row>
    <row r="90" spans="1:10">
      <c r="A90" s="3">
        <v>4</v>
      </c>
      <c r="B90" s="3" t="s">
        <v>76</v>
      </c>
      <c r="C90" s="3">
        <v>700</v>
      </c>
      <c r="D90" s="3">
        <v>11200</v>
      </c>
      <c r="E90" s="3">
        <f t="shared" si="13"/>
        <v>10640</v>
      </c>
      <c r="F90" s="3">
        <f>D90/23</f>
        <v>486.95652173913</v>
      </c>
      <c r="G90" s="3">
        <v>1450</v>
      </c>
    </row>
    <row r="91" spans="1:10">
      <c r="A91" s="3"/>
      <c r="B91" s="3"/>
      <c r="C91" s="3"/>
      <c r="D91" s="3"/>
      <c r="E91" s="3"/>
      <c r="F91" s="3"/>
      <c r="G91" s="3"/>
      <c r="H91" s="14">
        <v>31</v>
      </c>
      <c r="I91" s="3" t="s">
        <v>17</v>
      </c>
    </row>
    <row r="92" spans="1:10">
      <c r="A92" s="3"/>
      <c r="B92" s="3"/>
      <c r="C92" s="3"/>
      <c r="D92" s="3"/>
      <c r="E92" s="3"/>
      <c r="F92" s="3"/>
      <c r="G92" s="3"/>
    </row>
    <row r="93" spans="1:10">
      <c r="A93" s="3"/>
      <c r="B93" s="3"/>
      <c r="C93" s="3"/>
      <c r="D93" s="3"/>
      <c r="E93" s="3"/>
      <c r="F93" s="3"/>
      <c r="G93" s="3"/>
    </row>
    <row r="94" spans="1:10">
      <c r="A94" s="3"/>
      <c r="B94" s="3"/>
      <c r="C94" s="3"/>
      <c r="D94" s="3"/>
      <c r="E94" s="3"/>
      <c r="F94" s="3"/>
      <c r="G94" s="3"/>
    </row>
    <row r="95" ht="15.75" spans="1:10">
      <c r="A95" s="2" t="s">
        <v>0</v>
      </c>
      <c r="B95" s="2" t="s">
        <v>77</v>
      </c>
      <c r="C95" s="2" t="s">
        <v>2</v>
      </c>
      <c r="D95" s="2" t="s">
        <v>3</v>
      </c>
      <c r="E95" s="2" t="s">
        <v>4</v>
      </c>
      <c r="F95" s="2" t="s">
        <v>5</v>
      </c>
      <c r="G95" s="2" t="s">
        <v>6</v>
      </c>
    </row>
    <row r="96" spans="1:10">
      <c r="A96" s="3">
        <v>1</v>
      </c>
      <c r="B96" s="3" t="s">
        <v>78</v>
      </c>
      <c r="C96" s="3">
        <v>700</v>
      </c>
      <c r="D96" s="3">
        <v>9000</v>
      </c>
      <c r="E96" s="3">
        <f>(D96-(D96*5%))</f>
        <v>8550</v>
      </c>
      <c r="F96" s="3">
        <f>D96/23</f>
        <v>391.304347826087</v>
      </c>
      <c r="G96" s="3">
        <v>1200</v>
      </c>
    </row>
    <row r="97" spans="1:11">
      <c r="A97" s="3">
        <v>2</v>
      </c>
      <c r="B97" s="3" t="s">
        <v>79</v>
      </c>
      <c r="C97" s="3">
        <v>700</v>
      </c>
      <c r="D97" s="3">
        <v>6580</v>
      </c>
      <c r="E97" s="3">
        <f t="shared" ref="E97:E98" si="14">(D97-(D97*5%))</f>
        <v>6251</v>
      </c>
      <c r="F97" s="3">
        <f t="shared" ref="F97" si="15">D97/23</f>
        <v>286.086956521739</v>
      </c>
      <c r="G97" s="3">
        <v>850</v>
      </c>
    </row>
    <row r="98" spans="1:11">
      <c r="A98" s="3">
        <v>3</v>
      </c>
      <c r="B98" s="3" t="s">
        <v>80</v>
      </c>
      <c r="C98" s="3">
        <v>750</v>
      </c>
      <c r="D98" s="3">
        <v>990</v>
      </c>
      <c r="E98" s="3">
        <f t="shared" si="14"/>
        <v>940.5</v>
      </c>
      <c r="F98" s="3">
        <f>D98/25</f>
        <v>39.6</v>
      </c>
      <c r="G98" s="3">
        <v>250</v>
      </c>
      <c r="K98" s="1" t="s">
        <v>81</v>
      </c>
    </row>
    <row r="99" spans="1:11">
      <c r="A99" s="3"/>
      <c r="B99" s="3"/>
      <c r="C99" s="3"/>
      <c r="D99" s="3"/>
      <c r="E99" s="3"/>
      <c r="F99" s="3">
        <f>SUM(F96:F98)</f>
        <v>716.991304347826</v>
      </c>
      <c r="G99" s="3">
        <f>SUM(G96:G98)</f>
        <v>2300</v>
      </c>
      <c r="H99" s="14">
        <v>31.2</v>
      </c>
      <c r="I99" s="3" t="s">
        <v>17</v>
      </c>
      <c r="J99" s="17"/>
    </row>
    <row r="100" spans="1:11">
      <c r="A100" s="3"/>
      <c r="B100" s="3"/>
      <c r="C100" s="3"/>
      <c r="D100" s="3"/>
      <c r="E100" s="3"/>
      <c r="F100" s="3"/>
      <c r="G100" s="3"/>
    </row>
    <row r="101" ht="15.75" spans="1:11">
      <c r="A101" s="2" t="s">
        <v>0</v>
      </c>
      <c r="B101" s="2" t="s">
        <v>82</v>
      </c>
      <c r="C101" s="2" t="s">
        <v>2</v>
      </c>
      <c r="D101" s="2" t="s">
        <v>3</v>
      </c>
      <c r="E101" s="2" t="s">
        <v>4</v>
      </c>
      <c r="F101" s="2" t="s">
        <v>5</v>
      </c>
      <c r="G101" s="2" t="s">
        <v>6</v>
      </c>
    </row>
    <row r="102" spans="1:11">
      <c r="A102" s="3">
        <v>1</v>
      </c>
      <c r="B102" s="3" t="s">
        <v>83</v>
      </c>
      <c r="C102" s="3">
        <v>750</v>
      </c>
      <c r="D102" s="3">
        <v>2450</v>
      </c>
      <c r="E102" s="3">
        <f>(D102-(D102*5%))</f>
        <v>2327.5</v>
      </c>
      <c r="F102" s="3">
        <f>D102/25</f>
        <v>98</v>
      </c>
      <c r="G102" s="3">
        <v>450</v>
      </c>
    </row>
    <row r="103" spans="1:11">
      <c r="A103" s="3">
        <v>2</v>
      </c>
      <c r="B103" s="3" t="s">
        <v>84</v>
      </c>
      <c r="C103" s="3">
        <v>750</v>
      </c>
      <c r="D103" s="3">
        <v>1950</v>
      </c>
      <c r="E103" s="3">
        <f t="shared" ref="E103:E116" si="16">(D103-(D103*5%))</f>
        <v>1852.5</v>
      </c>
      <c r="F103" s="3">
        <f>D103/25</f>
        <v>78</v>
      </c>
      <c r="G103" s="3">
        <v>385</v>
      </c>
    </row>
    <row r="104" spans="1:11">
      <c r="A104" s="3">
        <v>3</v>
      </c>
      <c r="B104" s="3" t="s">
        <v>85</v>
      </c>
      <c r="C104" s="3">
        <v>700</v>
      </c>
      <c r="D104" s="3">
        <v>3990</v>
      </c>
      <c r="E104" s="3">
        <f t="shared" si="16"/>
        <v>3790.5</v>
      </c>
      <c r="F104" s="3">
        <f>D104/23</f>
        <v>173.478260869565</v>
      </c>
      <c r="G104" s="3">
        <v>560</v>
      </c>
    </row>
    <row r="105" spans="1:11">
      <c r="A105" s="3">
        <v>4</v>
      </c>
      <c r="B105" s="3" t="s">
        <v>86</v>
      </c>
      <c r="C105" s="3">
        <v>750</v>
      </c>
      <c r="D105" s="3">
        <v>1670</v>
      </c>
      <c r="E105" s="3">
        <f t="shared" si="16"/>
        <v>1586.5</v>
      </c>
      <c r="F105" s="3">
        <f>D105/25</f>
        <v>66.8</v>
      </c>
      <c r="G105" s="3">
        <v>350</v>
      </c>
    </row>
    <row r="106" spans="1:11">
      <c r="A106" s="3">
        <v>5</v>
      </c>
      <c r="B106" s="3" t="s">
        <v>87</v>
      </c>
      <c r="C106" s="3">
        <v>750</v>
      </c>
      <c r="D106" s="3">
        <v>3010</v>
      </c>
      <c r="E106" s="3">
        <f t="shared" si="16"/>
        <v>2859.5</v>
      </c>
      <c r="F106" s="3">
        <f t="shared" ref="F106:F108" si="17">D106/25</f>
        <v>120.4</v>
      </c>
      <c r="G106" s="3">
        <v>470</v>
      </c>
    </row>
    <row r="107" spans="1:11">
      <c r="A107" s="3">
        <v>6</v>
      </c>
      <c r="B107" s="3" t="s">
        <v>88</v>
      </c>
      <c r="C107" s="3">
        <v>750</v>
      </c>
      <c r="D107" s="3">
        <v>3810</v>
      </c>
      <c r="E107" s="3">
        <f t="shared" si="16"/>
        <v>3619.5</v>
      </c>
      <c r="F107" s="3">
        <f t="shared" si="17"/>
        <v>152.4</v>
      </c>
      <c r="G107" s="3">
        <v>620</v>
      </c>
    </row>
    <row r="108" spans="1:11">
      <c r="A108" s="3">
        <v>7</v>
      </c>
      <c r="B108" s="3" t="s">
        <v>89</v>
      </c>
      <c r="C108" s="3">
        <v>750</v>
      </c>
      <c r="D108" s="3">
        <v>4000</v>
      </c>
      <c r="E108" s="3">
        <f t="shared" si="16"/>
        <v>3800</v>
      </c>
      <c r="F108" s="3">
        <f t="shared" si="17"/>
        <v>160</v>
      </c>
      <c r="G108" s="3">
        <v>650</v>
      </c>
    </row>
    <row r="109" spans="1:11">
      <c r="A109" s="3">
        <v>8</v>
      </c>
      <c r="B109" s="3" t="s">
        <v>90</v>
      </c>
      <c r="C109" s="3">
        <v>700</v>
      </c>
      <c r="D109" s="3">
        <v>3530</v>
      </c>
      <c r="E109" s="3">
        <f t="shared" si="16"/>
        <v>3353.5</v>
      </c>
      <c r="F109" s="3">
        <f>D109/23</f>
        <v>153.478260869565</v>
      </c>
      <c r="G109" s="3">
        <v>660</v>
      </c>
    </row>
    <row r="110" spans="1:11">
      <c r="A110" s="3">
        <v>9</v>
      </c>
      <c r="B110" s="3" t="s">
        <v>91</v>
      </c>
      <c r="C110" s="3">
        <v>700</v>
      </c>
      <c r="D110" s="3">
        <v>4130</v>
      </c>
      <c r="E110" s="3">
        <f t="shared" si="16"/>
        <v>3923.5</v>
      </c>
      <c r="F110" s="3">
        <f>D110/23</f>
        <v>179.565217391304</v>
      </c>
      <c r="G110" s="3">
        <v>700</v>
      </c>
    </row>
    <row r="111" spans="1:11">
      <c r="A111" s="3">
        <v>10</v>
      </c>
      <c r="B111" s="3" t="s">
        <v>92</v>
      </c>
      <c r="C111" s="3">
        <v>1000</v>
      </c>
      <c r="D111" s="3">
        <v>3760</v>
      </c>
      <c r="E111" s="3">
        <f t="shared" si="16"/>
        <v>3572</v>
      </c>
      <c r="F111" s="3">
        <f>D111/33</f>
        <v>113.939393939394</v>
      </c>
      <c r="G111" s="3">
        <v>450</v>
      </c>
    </row>
    <row r="112" spans="1:11">
      <c r="A112" s="3">
        <v>11</v>
      </c>
      <c r="B112" s="3" t="s">
        <v>93</v>
      </c>
      <c r="C112" s="3">
        <v>750</v>
      </c>
      <c r="D112" s="3">
        <v>2220</v>
      </c>
      <c r="E112" s="3">
        <f t="shared" si="16"/>
        <v>2109</v>
      </c>
      <c r="F112" s="3">
        <f>D112/25</f>
        <v>88.8</v>
      </c>
      <c r="G112" s="3">
        <v>400</v>
      </c>
    </row>
    <row r="113" spans="1:10">
      <c r="A113" s="3">
        <v>12</v>
      </c>
      <c r="B113" s="3" t="s">
        <v>94</v>
      </c>
      <c r="C113" s="3">
        <v>750</v>
      </c>
      <c r="D113" s="3">
        <v>2130</v>
      </c>
      <c r="E113" s="3">
        <f t="shared" si="16"/>
        <v>2023.5</v>
      </c>
      <c r="F113" s="3">
        <f t="shared" ref="F113:F114" si="18">D113/25</f>
        <v>85.2</v>
      </c>
      <c r="G113" s="3">
        <v>325</v>
      </c>
    </row>
    <row r="114" spans="1:10">
      <c r="A114" s="3">
        <v>13</v>
      </c>
      <c r="B114" s="3" t="s">
        <v>95</v>
      </c>
      <c r="C114" s="3">
        <v>750</v>
      </c>
      <c r="D114" s="3">
        <v>1430</v>
      </c>
      <c r="E114" s="3">
        <f t="shared" si="16"/>
        <v>1358.5</v>
      </c>
      <c r="F114" s="3">
        <f t="shared" si="18"/>
        <v>57.2</v>
      </c>
      <c r="G114" s="3">
        <v>300</v>
      </c>
    </row>
    <row r="115" spans="1:10">
      <c r="A115" s="3">
        <v>14</v>
      </c>
      <c r="B115" s="3" t="s">
        <v>96</v>
      </c>
      <c r="C115" s="3">
        <v>500</v>
      </c>
      <c r="D115" s="3">
        <v>3730</v>
      </c>
      <c r="E115" s="3">
        <f t="shared" si="16"/>
        <v>3543.5</v>
      </c>
      <c r="F115" s="3">
        <f>D115/17</f>
        <v>219.411764705882</v>
      </c>
      <c r="G115" s="3">
        <v>745</v>
      </c>
    </row>
    <row r="116" spans="1:10">
      <c r="A116" s="3">
        <v>15</v>
      </c>
      <c r="B116" s="3" t="s">
        <v>97</v>
      </c>
      <c r="C116" s="3">
        <v>750</v>
      </c>
      <c r="D116" s="3">
        <v>2580</v>
      </c>
      <c r="E116" s="3">
        <f t="shared" si="16"/>
        <v>2451</v>
      </c>
      <c r="F116" s="3">
        <f>D116/25</f>
        <v>103.2</v>
      </c>
      <c r="G116" s="3">
        <v>350</v>
      </c>
    </row>
    <row r="117" spans="1:10">
      <c r="A117" s="3">
        <v>16</v>
      </c>
      <c r="B117" s="3" t="s">
        <v>98</v>
      </c>
      <c r="C117" s="3">
        <v>750</v>
      </c>
      <c r="D117" s="3">
        <v>2290</v>
      </c>
      <c r="E117" s="3">
        <f t="shared" ref="E117" si="19">(D117-(D117*5%))</f>
        <v>2175.5</v>
      </c>
      <c r="F117" s="3">
        <f>D117/25</f>
        <v>91.6</v>
      </c>
      <c r="G117" s="3">
        <v>385</v>
      </c>
      <c r="H117" s="46"/>
    </row>
    <row r="118" spans="1:10">
      <c r="A118" s="3"/>
      <c r="B118" s="3"/>
      <c r="C118" s="3"/>
      <c r="D118" s="3"/>
      <c r="E118" s="3"/>
      <c r="F118" s="3"/>
      <c r="G118" s="3"/>
      <c r="H118" s="14">
        <v>24.9</v>
      </c>
      <c r="I118" s="3" t="s">
        <v>17</v>
      </c>
      <c r="J118" s="17"/>
    </row>
    <row r="119" ht="15.75" spans="1:10">
      <c r="A119" s="2" t="s">
        <v>0</v>
      </c>
      <c r="B119" s="2" t="s">
        <v>99</v>
      </c>
      <c r="C119" s="2" t="s">
        <v>2</v>
      </c>
      <c r="D119" s="2" t="s">
        <v>3</v>
      </c>
      <c r="E119" s="2" t="s">
        <v>4</v>
      </c>
      <c r="F119" s="2" t="s">
        <v>5</v>
      </c>
      <c r="G119" s="2" t="s">
        <v>6</v>
      </c>
    </row>
    <row r="120" spans="1:10">
      <c r="A120" s="3">
        <v>1</v>
      </c>
      <c r="B120" s="3" t="s">
        <v>100</v>
      </c>
      <c r="C120" s="3">
        <v>750</v>
      </c>
      <c r="D120" s="3">
        <v>1900</v>
      </c>
      <c r="E120" s="3">
        <f>(D120-(D120*5%))</f>
        <v>1805</v>
      </c>
      <c r="F120" s="3">
        <f>D120/25</f>
        <v>76</v>
      </c>
      <c r="G120" s="3">
        <v>350</v>
      </c>
    </row>
    <row r="121" spans="1:10">
      <c r="A121" s="3">
        <v>2</v>
      </c>
      <c r="B121" s="3" t="s">
        <v>101</v>
      </c>
      <c r="C121" s="3">
        <v>700</v>
      </c>
      <c r="D121" s="3">
        <v>3820</v>
      </c>
      <c r="E121" s="3">
        <f t="shared" ref="E121:E130" si="20">(D121-(D121*5%))</f>
        <v>3629</v>
      </c>
      <c r="F121" s="3">
        <f>D121/23</f>
        <v>166.086956521739</v>
      </c>
      <c r="G121" s="3">
        <v>625</v>
      </c>
    </row>
    <row r="122" spans="1:10">
      <c r="A122" s="3">
        <v>3</v>
      </c>
      <c r="B122" s="3" t="s">
        <v>102</v>
      </c>
      <c r="C122" s="3">
        <v>700</v>
      </c>
      <c r="D122" s="3">
        <v>4030</v>
      </c>
      <c r="E122" s="3">
        <f t="shared" si="20"/>
        <v>3828.5</v>
      </c>
      <c r="F122" s="3">
        <f>D122/23</f>
        <v>175.217391304348</v>
      </c>
      <c r="G122" s="3">
        <v>650</v>
      </c>
    </row>
    <row r="123" spans="1:10">
      <c r="A123" s="3">
        <v>4</v>
      </c>
      <c r="B123" s="3" t="s">
        <v>103</v>
      </c>
      <c r="C123" s="3">
        <v>750</v>
      </c>
      <c r="D123" s="3">
        <v>3370</v>
      </c>
      <c r="E123" s="3">
        <f t="shared" si="20"/>
        <v>3201.5</v>
      </c>
      <c r="F123" s="3">
        <f>D123/25</f>
        <v>134.8</v>
      </c>
      <c r="G123" s="3">
        <v>490</v>
      </c>
    </row>
    <row r="124" spans="1:10">
      <c r="A124" s="3">
        <v>5</v>
      </c>
      <c r="B124" s="3" t="s">
        <v>104</v>
      </c>
      <c r="C124" s="3">
        <v>750</v>
      </c>
      <c r="D124" s="3">
        <v>5060</v>
      </c>
      <c r="E124" s="3">
        <f t="shared" si="20"/>
        <v>4807</v>
      </c>
      <c r="F124" s="3">
        <f t="shared" ref="F124:F130" si="21">D124/25</f>
        <v>202.4</v>
      </c>
      <c r="G124" s="3">
        <v>725</v>
      </c>
    </row>
    <row r="125" spans="1:10">
      <c r="A125" s="3">
        <v>6</v>
      </c>
      <c r="B125" s="3" t="s">
        <v>105</v>
      </c>
      <c r="C125" s="3">
        <v>750</v>
      </c>
      <c r="D125" s="3">
        <v>3120</v>
      </c>
      <c r="E125" s="3">
        <f t="shared" si="20"/>
        <v>2964</v>
      </c>
      <c r="F125" s="3">
        <f t="shared" si="21"/>
        <v>124.8</v>
      </c>
      <c r="G125" s="3">
        <v>600</v>
      </c>
    </row>
    <row r="126" spans="1:10">
      <c r="A126" s="3">
        <v>7</v>
      </c>
      <c r="B126" s="3" t="s">
        <v>106</v>
      </c>
      <c r="C126" s="3">
        <v>750</v>
      </c>
      <c r="D126" s="3">
        <v>2050</v>
      </c>
      <c r="E126" s="3">
        <f t="shared" si="20"/>
        <v>1947.5</v>
      </c>
      <c r="F126" s="3">
        <f t="shared" si="21"/>
        <v>82</v>
      </c>
      <c r="G126" s="3">
        <v>350</v>
      </c>
    </row>
    <row r="127" spans="1:10">
      <c r="A127" s="3">
        <v>8</v>
      </c>
      <c r="B127" s="3" t="s">
        <v>107</v>
      </c>
      <c r="C127" s="3">
        <v>750</v>
      </c>
      <c r="D127" s="3">
        <v>820</v>
      </c>
      <c r="E127" s="3">
        <f t="shared" si="20"/>
        <v>779</v>
      </c>
      <c r="F127" s="3">
        <f t="shared" si="21"/>
        <v>32.8</v>
      </c>
      <c r="G127" s="3">
        <v>260</v>
      </c>
    </row>
    <row r="128" spans="1:10">
      <c r="A128" s="3">
        <v>9</v>
      </c>
      <c r="B128" s="3" t="s">
        <v>108</v>
      </c>
      <c r="C128" s="3">
        <v>750</v>
      </c>
      <c r="D128" s="3">
        <v>1230</v>
      </c>
      <c r="E128" s="3">
        <f t="shared" si="20"/>
        <v>1168.5</v>
      </c>
      <c r="F128" s="3">
        <f t="shared" si="21"/>
        <v>49.2</v>
      </c>
      <c r="G128" s="3">
        <v>275</v>
      </c>
    </row>
    <row r="129" spans="1:11">
      <c r="A129" s="3">
        <v>10</v>
      </c>
      <c r="B129" s="3" t="s">
        <v>109</v>
      </c>
      <c r="C129" s="3">
        <v>750</v>
      </c>
      <c r="D129" s="3">
        <v>2090</v>
      </c>
      <c r="E129" s="3">
        <f t="shared" si="20"/>
        <v>1985.5</v>
      </c>
      <c r="F129" s="3">
        <f t="shared" si="21"/>
        <v>83.6</v>
      </c>
      <c r="G129" s="3">
        <v>350</v>
      </c>
    </row>
    <row r="130" spans="1:11">
      <c r="A130" s="3">
        <v>11</v>
      </c>
      <c r="B130" s="3" t="s">
        <v>110</v>
      </c>
      <c r="C130" s="3">
        <v>750</v>
      </c>
      <c r="D130" s="3">
        <v>880</v>
      </c>
      <c r="E130" s="3">
        <f t="shared" si="20"/>
        <v>836</v>
      </c>
      <c r="F130" s="3">
        <f t="shared" si="21"/>
        <v>35.2</v>
      </c>
      <c r="G130" s="3">
        <v>260</v>
      </c>
    </row>
    <row r="131" spans="1:11">
      <c r="A131" s="3"/>
      <c r="B131" s="3"/>
      <c r="C131" s="3"/>
      <c r="D131" s="3"/>
      <c r="E131" s="3"/>
      <c r="F131" s="3"/>
      <c r="G131" s="3"/>
      <c r="H131" s="14">
        <v>23.5</v>
      </c>
      <c r="I131" s="15" t="s">
        <v>17</v>
      </c>
      <c r="J131" s="17"/>
    </row>
    <row r="132" spans="1:11">
      <c r="A132" s="3"/>
      <c r="B132" s="3"/>
      <c r="C132" s="3"/>
      <c r="D132" s="3"/>
      <c r="E132" s="3"/>
      <c r="F132" s="3"/>
      <c r="G132" s="3"/>
    </row>
    <row r="133" spans="1:11">
      <c r="A133" s="3"/>
      <c r="B133" s="3"/>
      <c r="C133" s="3"/>
      <c r="D133" s="3"/>
      <c r="E133" s="3"/>
      <c r="F133" s="3"/>
      <c r="G133" s="3"/>
    </row>
    <row r="134" ht="15.75" spans="1:11">
      <c r="A134" s="2" t="s">
        <v>0</v>
      </c>
      <c r="B134" s="2" t="s">
        <v>111</v>
      </c>
      <c r="C134" s="2" t="s">
        <v>2</v>
      </c>
      <c r="D134" s="2" t="s">
        <v>3</v>
      </c>
      <c r="E134" s="2" t="s">
        <v>4</v>
      </c>
      <c r="F134" s="2" t="s">
        <v>5</v>
      </c>
      <c r="G134" s="2" t="s">
        <v>6</v>
      </c>
    </row>
    <row r="135" spans="1:11">
      <c r="A135" s="3">
        <v>1</v>
      </c>
      <c r="B135" s="3" t="s">
        <v>112</v>
      </c>
      <c r="C135" s="3">
        <v>750</v>
      </c>
      <c r="D135" s="3">
        <v>2950</v>
      </c>
      <c r="E135" s="3">
        <f>(D135-(D135*5%))</f>
        <v>2802.5</v>
      </c>
      <c r="F135" s="3">
        <f>D135/25</f>
        <v>118</v>
      </c>
      <c r="G135" s="3">
        <v>490</v>
      </c>
    </row>
    <row r="136" spans="1:11">
      <c r="A136" s="3">
        <v>2</v>
      </c>
      <c r="B136" s="3" t="s">
        <v>113</v>
      </c>
      <c r="C136" s="3">
        <v>750</v>
      </c>
      <c r="D136" s="3">
        <v>2650</v>
      </c>
      <c r="E136" s="3">
        <f t="shared" ref="E136:E140" si="22">(D136-(D136*5%))</f>
        <v>2517.5</v>
      </c>
      <c r="F136" s="3">
        <f t="shared" ref="F136:F140" si="23">D136/25</f>
        <v>106</v>
      </c>
      <c r="G136" s="3">
        <v>470</v>
      </c>
    </row>
    <row r="137" spans="1:11">
      <c r="A137" s="3">
        <v>3</v>
      </c>
      <c r="B137" s="3" t="s">
        <v>114</v>
      </c>
      <c r="C137" s="3">
        <v>750</v>
      </c>
      <c r="D137" s="3">
        <v>840</v>
      </c>
      <c r="E137" s="3">
        <f t="shared" si="22"/>
        <v>798</v>
      </c>
      <c r="F137" s="3">
        <f t="shared" si="23"/>
        <v>33.6</v>
      </c>
      <c r="G137" s="3">
        <v>275</v>
      </c>
    </row>
    <row r="138" spans="1:11">
      <c r="A138" s="3">
        <v>4</v>
      </c>
      <c r="B138" s="3" t="s">
        <v>115</v>
      </c>
      <c r="C138" s="3">
        <v>750</v>
      </c>
      <c r="D138" s="3">
        <v>1050</v>
      </c>
      <c r="E138" s="3">
        <f t="shared" si="22"/>
        <v>997.5</v>
      </c>
      <c r="F138" s="3">
        <f t="shared" si="23"/>
        <v>42</v>
      </c>
      <c r="G138" s="3">
        <v>260</v>
      </c>
    </row>
    <row r="139" spans="1:11">
      <c r="A139" s="3">
        <v>5</v>
      </c>
      <c r="B139" s="3" t="s">
        <v>116</v>
      </c>
      <c r="C139" s="3">
        <v>750</v>
      </c>
      <c r="D139" s="3">
        <v>560</v>
      </c>
      <c r="E139" s="3">
        <f t="shared" si="22"/>
        <v>532</v>
      </c>
      <c r="F139" s="3">
        <f t="shared" si="23"/>
        <v>22.4</v>
      </c>
      <c r="G139" s="3">
        <v>200</v>
      </c>
    </row>
    <row r="140" spans="1:11">
      <c r="A140" s="3">
        <v>6</v>
      </c>
      <c r="B140" s="3" t="s">
        <v>117</v>
      </c>
      <c r="C140" s="3">
        <v>750</v>
      </c>
      <c r="D140" s="3">
        <v>1390</v>
      </c>
      <c r="E140" s="3">
        <f t="shared" si="22"/>
        <v>1320.5</v>
      </c>
      <c r="F140" s="3">
        <f t="shared" si="23"/>
        <v>55.6</v>
      </c>
      <c r="G140" s="3">
        <v>250</v>
      </c>
    </row>
    <row r="141" spans="1:11">
      <c r="A141" s="3"/>
      <c r="B141" s="3"/>
      <c r="C141" s="3"/>
      <c r="D141" s="3"/>
      <c r="E141" s="3"/>
      <c r="F141" s="3"/>
      <c r="G141" s="3"/>
      <c r="H141" s="14">
        <v>19.4</v>
      </c>
      <c r="I141" s="15" t="s">
        <v>17</v>
      </c>
      <c r="K141" s="17"/>
    </row>
    <row r="142" spans="1:11">
      <c r="A142" s="3"/>
      <c r="B142" s="3"/>
      <c r="C142" s="3"/>
      <c r="D142" s="3"/>
      <c r="E142" s="3"/>
      <c r="F142" s="3"/>
      <c r="G142" s="3"/>
    </row>
    <row r="143" ht="15.75" spans="1:11">
      <c r="A143" s="2" t="s">
        <v>0</v>
      </c>
      <c r="B143" s="2" t="s">
        <v>118</v>
      </c>
      <c r="C143" s="2" t="s">
        <v>2</v>
      </c>
      <c r="D143" s="2" t="s">
        <v>3</v>
      </c>
      <c r="E143" s="2" t="s">
        <v>4</v>
      </c>
      <c r="F143" s="2" t="s">
        <v>5</v>
      </c>
      <c r="G143" s="2" t="s">
        <v>6</v>
      </c>
    </row>
    <row r="144" spans="1:11">
      <c r="A144" s="3">
        <v>1</v>
      </c>
      <c r="B144" s="3" t="s">
        <v>119</v>
      </c>
      <c r="C144" s="3">
        <v>750</v>
      </c>
      <c r="D144" s="3">
        <v>2400</v>
      </c>
      <c r="E144" s="3">
        <f>(D144-(D144*5%))</f>
        <v>2280</v>
      </c>
      <c r="F144" s="3">
        <f>D144/25</f>
        <v>96</v>
      </c>
      <c r="G144" s="3">
        <v>425</v>
      </c>
    </row>
    <row r="145" spans="1:10">
      <c r="A145" s="3">
        <v>2</v>
      </c>
      <c r="B145" s="3" t="s">
        <v>120</v>
      </c>
      <c r="C145" s="3">
        <v>750</v>
      </c>
      <c r="D145" s="3">
        <v>2530</v>
      </c>
      <c r="E145" s="3">
        <f t="shared" ref="E145:E154" si="24">(D145-(D145*5%))</f>
        <v>2403.5</v>
      </c>
      <c r="F145" s="3">
        <f t="shared" ref="F145:F147" si="25">D145/25</f>
        <v>101.2</v>
      </c>
      <c r="G145" s="3">
        <v>475</v>
      </c>
    </row>
    <row r="146" spans="1:10">
      <c r="A146" s="3">
        <v>3</v>
      </c>
      <c r="B146" s="3" t="s">
        <v>121</v>
      </c>
      <c r="C146" s="3">
        <v>750</v>
      </c>
      <c r="D146" s="3">
        <v>7980</v>
      </c>
      <c r="E146" s="3">
        <f t="shared" si="24"/>
        <v>7581</v>
      </c>
      <c r="F146" s="3">
        <f t="shared" si="25"/>
        <v>319.2</v>
      </c>
      <c r="G146" s="3">
        <v>1200</v>
      </c>
    </row>
    <row r="147" spans="1:10">
      <c r="A147" s="3">
        <v>4</v>
      </c>
      <c r="B147" s="3" t="s">
        <v>122</v>
      </c>
      <c r="C147" s="3">
        <v>750</v>
      </c>
      <c r="D147" s="3">
        <v>7980</v>
      </c>
      <c r="E147" s="3">
        <f t="shared" si="24"/>
        <v>7581</v>
      </c>
      <c r="F147" s="3">
        <f t="shared" si="25"/>
        <v>319.2</v>
      </c>
      <c r="G147" s="3">
        <v>1200</v>
      </c>
    </row>
    <row r="148" spans="1:10">
      <c r="A148" s="3">
        <v>5</v>
      </c>
      <c r="B148" s="3" t="s">
        <v>123</v>
      </c>
      <c r="C148" s="3">
        <v>700</v>
      </c>
      <c r="D148" s="3">
        <v>2040</v>
      </c>
      <c r="E148" s="3">
        <f t="shared" si="24"/>
        <v>1938</v>
      </c>
      <c r="F148" s="3">
        <f>D148/23</f>
        <v>88.695652173913</v>
      </c>
      <c r="G148" s="3">
        <v>425</v>
      </c>
    </row>
    <row r="149" spans="1:10">
      <c r="A149" s="3">
        <v>6</v>
      </c>
      <c r="B149" s="3" t="s">
        <v>124</v>
      </c>
      <c r="C149" s="3">
        <v>700</v>
      </c>
      <c r="D149" s="3">
        <v>2040</v>
      </c>
      <c r="E149" s="3">
        <f t="shared" si="24"/>
        <v>1938</v>
      </c>
      <c r="F149" s="3">
        <f>D149/23</f>
        <v>88.695652173913</v>
      </c>
      <c r="G149" s="3">
        <v>400</v>
      </c>
    </row>
    <row r="150" spans="1:10">
      <c r="A150" s="3">
        <v>7</v>
      </c>
      <c r="B150" s="3" t="s">
        <v>125</v>
      </c>
      <c r="C150" s="3">
        <v>750</v>
      </c>
      <c r="D150" s="3">
        <v>4570</v>
      </c>
      <c r="E150" s="3">
        <f t="shared" si="24"/>
        <v>4341.5</v>
      </c>
      <c r="F150" s="3">
        <f t="shared" ref="F150:F154" si="26">D150/25</f>
        <v>182.8</v>
      </c>
      <c r="G150" s="3">
        <v>800</v>
      </c>
    </row>
    <row r="151" spans="1:10">
      <c r="A151" s="3">
        <v>8</v>
      </c>
      <c r="B151" s="3" t="s">
        <v>126</v>
      </c>
      <c r="C151" s="3">
        <v>750</v>
      </c>
      <c r="D151" s="3">
        <v>1880</v>
      </c>
      <c r="E151" s="3">
        <f t="shared" si="24"/>
        <v>1786</v>
      </c>
      <c r="F151" s="3">
        <f t="shared" si="26"/>
        <v>75.2</v>
      </c>
      <c r="G151" s="3">
        <v>425</v>
      </c>
    </row>
    <row r="152" spans="1:10">
      <c r="A152" s="3">
        <v>9</v>
      </c>
      <c r="B152" s="3" t="s">
        <v>127</v>
      </c>
      <c r="C152" s="3">
        <v>750</v>
      </c>
      <c r="D152" s="3">
        <v>1910</v>
      </c>
      <c r="E152" s="3">
        <f t="shared" si="24"/>
        <v>1814.5</v>
      </c>
      <c r="F152" s="3">
        <f t="shared" si="26"/>
        <v>76.4</v>
      </c>
      <c r="G152" s="3">
        <v>400</v>
      </c>
    </row>
    <row r="153" spans="1:10">
      <c r="A153" s="3">
        <v>10</v>
      </c>
      <c r="B153" s="3" t="s">
        <v>128</v>
      </c>
      <c r="C153" s="3">
        <v>750</v>
      </c>
      <c r="D153" s="3">
        <v>6290</v>
      </c>
      <c r="E153" s="3">
        <f t="shared" si="24"/>
        <v>5975.5</v>
      </c>
      <c r="F153" s="3">
        <f t="shared" si="26"/>
        <v>251.6</v>
      </c>
      <c r="G153" s="3">
        <v>950</v>
      </c>
    </row>
    <row r="154" spans="1:10">
      <c r="A154" s="3">
        <v>11</v>
      </c>
      <c r="B154" s="3" t="s">
        <v>129</v>
      </c>
      <c r="C154" s="3">
        <v>750</v>
      </c>
      <c r="D154" s="3">
        <v>4110</v>
      </c>
      <c r="E154" s="3">
        <f t="shared" si="24"/>
        <v>3904.5</v>
      </c>
      <c r="F154" s="3">
        <f t="shared" si="26"/>
        <v>164.4</v>
      </c>
      <c r="G154" s="3">
        <v>625</v>
      </c>
    </row>
    <row r="155" spans="1:10">
      <c r="A155" s="3"/>
      <c r="B155" s="3"/>
      <c r="C155" s="3"/>
      <c r="D155" s="3"/>
      <c r="E155" s="3"/>
      <c r="F155" s="3"/>
      <c r="G155" s="3"/>
      <c r="H155" s="14">
        <v>24.1</v>
      </c>
      <c r="I155" s="15" t="s">
        <v>17</v>
      </c>
      <c r="J155" s="17"/>
    </row>
    <row r="156" spans="1:10">
      <c r="A156" s="3"/>
      <c r="B156" s="3"/>
      <c r="C156" s="3"/>
      <c r="D156" s="3"/>
      <c r="E156" s="3"/>
      <c r="F156" s="3"/>
      <c r="G156" s="3"/>
    </row>
    <row r="157" ht="15.75" spans="1:10">
      <c r="A157" s="2" t="s">
        <v>0</v>
      </c>
      <c r="B157" s="2" t="s">
        <v>130</v>
      </c>
      <c r="C157" s="2" t="s">
        <v>2</v>
      </c>
      <c r="D157" s="2" t="s">
        <v>3</v>
      </c>
      <c r="E157" s="2" t="s">
        <v>4</v>
      </c>
      <c r="F157" s="2" t="s">
        <v>5</v>
      </c>
      <c r="G157" s="2" t="s">
        <v>6</v>
      </c>
    </row>
    <row r="158" spans="1:10">
      <c r="A158" s="3">
        <v>1</v>
      </c>
      <c r="B158" s="3" t="s">
        <v>131</v>
      </c>
      <c r="C158" s="3">
        <v>700</v>
      </c>
      <c r="D158" s="3">
        <v>2270</v>
      </c>
      <c r="E158" s="3">
        <f>(D158-(D158*5%))</f>
        <v>2156.5</v>
      </c>
      <c r="F158" s="3">
        <f>D158/23</f>
        <v>98.695652173913</v>
      </c>
      <c r="G158" s="3">
        <v>400</v>
      </c>
    </row>
    <row r="159" spans="1:10">
      <c r="A159" s="3">
        <v>2</v>
      </c>
      <c r="B159" s="3" t="s">
        <v>132</v>
      </c>
      <c r="C159" s="3">
        <v>700</v>
      </c>
      <c r="D159" s="3">
        <v>4300</v>
      </c>
      <c r="E159" s="3">
        <f t="shared" ref="E159:E174" si="27">(D159-(D159*5%))</f>
        <v>4085</v>
      </c>
      <c r="F159" s="3">
        <f>D159/23</f>
        <v>186.95652173913</v>
      </c>
      <c r="G159" s="3">
        <v>560</v>
      </c>
    </row>
    <row r="160" spans="1:10">
      <c r="A160" s="3">
        <v>3</v>
      </c>
      <c r="B160" s="3" t="s">
        <v>133</v>
      </c>
      <c r="C160" s="3">
        <v>750</v>
      </c>
      <c r="D160" s="3">
        <v>2490</v>
      </c>
      <c r="E160" s="3">
        <f t="shared" si="27"/>
        <v>2365.5</v>
      </c>
      <c r="F160" s="3">
        <f t="shared" ref="F160:F170" si="28">D160/25</f>
        <v>99.6</v>
      </c>
      <c r="G160" s="3">
        <v>400</v>
      </c>
    </row>
    <row r="161" spans="1:10">
      <c r="A161" s="3">
        <v>4</v>
      </c>
      <c r="B161" s="3" t="s">
        <v>134</v>
      </c>
      <c r="C161" s="3">
        <v>700</v>
      </c>
      <c r="D161" s="3">
        <v>3030</v>
      </c>
      <c r="E161" s="3">
        <f t="shared" si="27"/>
        <v>2878.5</v>
      </c>
      <c r="F161" s="3">
        <f>D161/23</f>
        <v>131.739130434783</v>
      </c>
      <c r="G161" s="3">
        <v>425</v>
      </c>
    </row>
    <row r="162" spans="1:10">
      <c r="A162" s="3">
        <v>5</v>
      </c>
      <c r="B162" s="3" t="s">
        <v>135</v>
      </c>
      <c r="C162" s="3">
        <v>750</v>
      </c>
      <c r="D162" s="3">
        <v>2900</v>
      </c>
      <c r="E162" s="3">
        <f t="shared" si="27"/>
        <v>2755</v>
      </c>
      <c r="F162" s="3">
        <f t="shared" si="28"/>
        <v>116</v>
      </c>
      <c r="G162" s="3">
        <v>425</v>
      </c>
    </row>
    <row r="163" spans="1:10">
      <c r="A163" s="3">
        <v>6</v>
      </c>
      <c r="B163" s="3" t="s">
        <v>136</v>
      </c>
      <c r="C163" s="3">
        <v>750</v>
      </c>
      <c r="D163" s="3">
        <v>3200</v>
      </c>
      <c r="E163" s="3">
        <f t="shared" si="27"/>
        <v>3040</v>
      </c>
      <c r="F163" s="3">
        <f t="shared" si="28"/>
        <v>128</v>
      </c>
      <c r="G163" s="3">
        <v>500</v>
      </c>
    </row>
    <row r="164" spans="1:10">
      <c r="A164" s="3">
        <v>7</v>
      </c>
      <c r="B164" s="3" t="s">
        <v>137</v>
      </c>
      <c r="C164" s="3">
        <v>700</v>
      </c>
      <c r="D164" s="3">
        <v>2980</v>
      </c>
      <c r="E164" s="3">
        <f t="shared" si="27"/>
        <v>2831</v>
      </c>
      <c r="F164" s="3">
        <f>D164/23</f>
        <v>129.565217391304</v>
      </c>
      <c r="G164" s="3">
        <v>500</v>
      </c>
    </row>
    <row r="165" spans="1:10">
      <c r="A165" s="3">
        <v>8</v>
      </c>
      <c r="B165" s="3" t="s">
        <v>138</v>
      </c>
      <c r="C165" s="3">
        <v>750</v>
      </c>
      <c r="D165" s="3">
        <v>2080</v>
      </c>
      <c r="E165" s="3">
        <f t="shared" si="27"/>
        <v>1976</v>
      </c>
      <c r="F165" s="3">
        <f t="shared" si="28"/>
        <v>83.2</v>
      </c>
      <c r="G165" s="3">
        <v>350</v>
      </c>
    </row>
    <row r="166" spans="1:10">
      <c r="A166" s="3">
        <v>9</v>
      </c>
      <c r="B166" s="3" t="s">
        <v>139</v>
      </c>
      <c r="C166" s="3">
        <v>700</v>
      </c>
      <c r="D166" s="3">
        <v>1970</v>
      </c>
      <c r="E166" s="3">
        <f t="shared" si="27"/>
        <v>1871.5</v>
      </c>
      <c r="F166" s="3">
        <f>D166/23</f>
        <v>85.6521739130435</v>
      </c>
      <c r="G166" s="3">
        <v>400</v>
      </c>
    </row>
    <row r="167" spans="1:10">
      <c r="A167" s="3">
        <v>10</v>
      </c>
      <c r="B167" s="3" t="s">
        <v>140</v>
      </c>
      <c r="C167" s="3">
        <v>750</v>
      </c>
      <c r="D167" s="3">
        <v>2530</v>
      </c>
      <c r="E167" s="3">
        <f t="shared" si="27"/>
        <v>2403.5</v>
      </c>
      <c r="F167" s="3">
        <f t="shared" si="28"/>
        <v>101.2</v>
      </c>
      <c r="G167" s="3">
        <v>425</v>
      </c>
    </row>
    <row r="168" spans="1:10">
      <c r="A168" s="3">
        <v>11</v>
      </c>
      <c r="B168" s="3" t="s">
        <v>141</v>
      </c>
      <c r="C168" s="3">
        <v>700</v>
      </c>
      <c r="D168" s="3">
        <v>2400</v>
      </c>
      <c r="E168" s="3">
        <f t="shared" si="27"/>
        <v>2280</v>
      </c>
      <c r="F168" s="3">
        <f>D168/23</f>
        <v>104.347826086957</v>
      </c>
      <c r="G168" s="3">
        <v>425</v>
      </c>
    </row>
    <row r="169" spans="1:10">
      <c r="A169" s="3">
        <v>12</v>
      </c>
      <c r="B169" s="3" t="s">
        <v>142</v>
      </c>
      <c r="C169" s="3">
        <v>700</v>
      </c>
      <c r="D169" s="3">
        <v>2330</v>
      </c>
      <c r="E169" s="3">
        <f t="shared" si="27"/>
        <v>2213.5</v>
      </c>
      <c r="F169" s="3">
        <f t="shared" si="28"/>
        <v>93.2</v>
      </c>
      <c r="G169" s="3">
        <v>400</v>
      </c>
    </row>
    <row r="170" spans="1:10">
      <c r="A170" s="3">
        <v>13</v>
      </c>
      <c r="B170" s="3" t="s">
        <v>143</v>
      </c>
      <c r="C170" s="3">
        <v>750</v>
      </c>
      <c r="D170" s="3">
        <v>2500</v>
      </c>
      <c r="E170" s="3">
        <f t="shared" si="27"/>
        <v>2375</v>
      </c>
      <c r="F170" s="3">
        <f t="shared" si="28"/>
        <v>100</v>
      </c>
      <c r="G170" s="3">
        <v>425</v>
      </c>
    </row>
    <row r="171" spans="1:10">
      <c r="A171" s="3">
        <v>14</v>
      </c>
      <c r="B171" s="3" t="s">
        <v>144</v>
      </c>
      <c r="C171" s="3">
        <v>1000</v>
      </c>
      <c r="D171" s="3">
        <v>1075</v>
      </c>
      <c r="E171" s="3">
        <f t="shared" si="27"/>
        <v>1021.25</v>
      </c>
      <c r="F171" s="3">
        <f>D171/33</f>
        <v>32.5757575757576</v>
      </c>
      <c r="G171" s="3">
        <v>325</v>
      </c>
    </row>
    <row r="172" spans="1:10">
      <c r="A172" s="3">
        <v>15</v>
      </c>
      <c r="B172" s="3" t="s">
        <v>145</v>
      </c>
      <c r="C172" s="3">
        <v>1000</v>
      </c>
      <c r="D172" s="3">
        <v>1075</v>
      </c>
      <c r="E172" s="3">
        <f t="shared" si="27"/>
        <v>1021.25</v>
      </c>
      <c r="F172" s="3">
        <f t="shared" ref="F172:F174" si="29">D172/33</f>
        <v>32.5757575757576</v>
      </c>
      <c r="G172" s="3">
        <v>325</v>
      </c>
    </row>
    <row r="173" spans="1:10">
      <c r="A173" s="3">
        <v>16</v>
      </c>
      <c r="B173" s="3" t="s">
        <v>146</v>
      </c>
      <c r="C173" s="3">
        <v>1000</v>
      </c>
      <c r="D173" s="3">
        <v>1075</v>
      </c>
      <c r="E173" s="3">
        <f t="shared" si="27"/>
        <v>1021.25</v>
      </c>
      <c r="F173" s="3">
        <f t="shared" si="29"/>
        <v>32.5757575757576</v>
      </c>
      <c r="G173" s="3">
        <v>325</v>
      </c>
    </row>
    <row r="174" spans="1:10">
      <c r="A174" s="3">
        <v>17</v>
      </c>
      <c r="B174" s="3" t="s">
        <v>147</v>
      </c>
      <c r="C174" s="3">
        <v>750</v>
      </c>
      <c r="D174" s="3">
        <v>1430</v>
      </c>
      <c r="E174" s="3">
        <f t="shared" si="27"/>
        <v>1358.5</v>
      </c>
      <c r="F174" s="3">
        <f t="shared" si="29"/>
        <v>43.3333333333333</v>
      </c>
      <c r="G174" s="3">
        <v>350</v>
      </c>
    </row>
    <row r="175" spans="1:10">
      <c r="A175" s="3"/>
      <c r="B175" s="3"/>
      <c r="C175" s="3"/>
      <c r="D175" s="3"/>
      <c r="E175" s="3"/>
      <c r="F175" s="3"/>
      <c r="G175" s="3"/>
      <c r="H175" s="14">
        <v>23.5</v>
      </c>
      <c r="I175" s="15" t="s">
        <v>17</v>
      </c>
      <c r="J175" s="17"/>
    </row>
    <row r="176" ht="15.75" spans="1:10">
      <c r="A176" s="2" t="s">
        <v>0</v>
      </c>
      <c r="B176" s="2" t="s">
        <v>148</v>
      </c>
      <c r="C176" s="2" t="s">
        <v>2</v>
      </c>
      <c r="D176" s="2" t="s">
        <v>3</v>
      </c>
      <c r="E176" s="2" t="s">
        <v>4</v>
      </c>
      <c r="F176" s="2" t="s">
        <v>149</v>
      </c>
      <c r="G176" s="2" t="s">
        <v>6</v>
      </c>
    </row>
    <row r="177" spans="1:9">
      <c r="A177" s="3">
        <v>1</v>
      </c>
      <c r="B177" s="3" t="s">
        <v>150</v>
      </c>
      <c r="C177" s="3">
        <v>275</v>
      </c>
      <c r="D177" s="3">
        <v>110</v>
      </c>
      <c r="E177" s="3">
        <f>(D177-(D177*5%))</f>
        <v>104.5</v>
      </c>
      <c r="F177" s="3">
        <v>110</v>
      </c>
      <c r="G177" s="3">
        <v>335</v>
      </c>
    </row>
    <row r="178" spans="1:9">
      <c r="A178" s="3">
        <v>2</v>
      </c>
      <c r="B178" s="3" t="s">
        <v>151</v>
      </c>
      <c r="C178" s="3">
        <v>275</v>
      </c>
      <c r="D178" s="3">
        <v>110</v>
      </c>
      <c r="E178" s="3">
        <f>(D178-(D178*5%))</f>
        <v>104.5</v>
      </c>
      <c r="F178" s="3">
        <v>110</v>
      </c>
      <c r="G178" s="3">
        <v>325</v>
      </c>
    </row>
    <row r="179" spans="1:9">
      <c r="A179" s="3"/>
      <c r="B179" s="3"/>
      <c r="C179" s="3"/>
      <c r="D179" s="3"/>
      <c r="E179" s="3"/>
      <c r="F179" s="3"/>
      <c r="G179" s="3"/>
      <c r="H179" s="14">
        <v>33.3</v>
      </c>
      <c r="I179" s="15" t="s">
        <v>17</v>
      </c>
    </row>
    <row r="180" spans="1:9">
      <c r="A180" s="3"/>
      <c r="B180" s="3"/>
      <c r="C180" s="3"/>
      <c r="D180" s="3"/>
      <c r="E180" s="3"/>
      <c r="F180" s="3"/>
      <c r="G180" s="3"/>
    </row>
    <row r="181" ht="15.75" spans="1:9">
      <c r="A181" s="2" t="s">
        <v>0</v>
      </c>
      <c r="B181" s="2" t="s">
        <v>152</v>
      </c>
      <c r="C181" s="2" t="s">
        <v>2</v>
      </c>
      <c r="D181" s="2" t="s">
        <v>3</v>
      </c>
      <c r="E181" s="2" t="s">
        <v>4</v>
      </c>
      <c r="F181" s="2" t="s">
        <v>153</v>
      </c>
      <c r="G181" s="2" t="s">
        <v>6</v>
      </c>
    </row>
    <row r="182" spans="1:9">
      <c r="A182" s="3">
        <v>1</v>
      </c>
      <c r="B182" s="3" t="s">
        <v>154</v>
      </c>
      <c r="C182" s="3">
        <v>330</v>
      </c>
      <c r="D182" s="3">
        <v>120</v>
      </c>
      <c r="E182" s="3">
        <f>(D182-(D182*5%))</f>
        <v>114</v>
      </c>
      <c r="F182" s="3">
        <v>120</v>
      </c>
      <c r="G182" s="3">
        <v>400</v>
      </c>
    </row>
    <row r="183" spans="1:9">
      <c r="A183" s="3">
        <v>2</v>
      </c>
      <c r="B183" s="3" t="s">
        <v>155</v>
      </c>
      <c r="C183" s="3">
        <v>330</v>
      </c>
      <c r="D183" s="3">
        <v>95</v>
      </c>
      <c r="E183" s="3">
        <f t="shared" ref="E183:E191" si="30">(D183-(D183*5%))</f>
        <v>90.25</v>
      </c>
      <c r="F183" s="3">
        <v>95</v>
      </c>
      <c r="G183" s="3">
        <v>385</v>
      </c>
    </row>
    <row r="184" spans="1:9">
      <c r="A184" s="3">
        <v>3</v>
      </c>
      <c r="B184" s="3" t="s">
        <v>156</v>
      </c>
      <c r="C184" s="3">
        <v>330</v>
      </c>
      <c r="D184" s="3">
        <v>140</v>
      </c>
      <c r="E184" s="3">
        <f t="shared" si="30"/>
        <v>133</v>
      </c>
      <c r="F184" s="3">
        <v>140</v>
      </c>
      <c r="G184" s="3">
        <v>500</v>
      </c>
    </row>
    <row r="185" spans="1:9">
      <c r="A185" s="3">
        <v>4</v>
      </c>
      <c r="B185" s="3" t="s">
        <v>157</v>
      </c>
      <c r="C185" s="3">
        <v>330</v>
      </c>
      <c r="D185" s="3">
        <v>90</v>
      </c>
      <c r="E185" s="3">
        <f t="shared" si="30"/>
        <v>85.5</v>
      </c>
      <c r="F185" s="3">
        <v>90</v>
      </c>
      <c r="G185" s="3">
        <v>350</v>
      </c>
    </row>
    <row r="186" spans="1:9">
      <c r="A186" s="3">
        <v>5</v>
      </c>
      <c r="B186" s="3" t="s">
        <v>158</v>
      </c>
      <c r="C186" s="3">
        <v>330</v>
      </c>
      <c r="D186" s="3">
        <v>70</v>
      </c>
      <c r="E186" s="3">
        <f t="shared" si="30"/>
        <v>66.5</v>
      </c>
      <c r="F186" s="3">
        <v>70</v>
      </c>
      <c r="G186" s="3">
        <v>325</v>
      </c>
    </row>
    <row r="187" spans="1:9">
      <c r="A187" s="3">
        <v>6</v>
      </c>
      <c r="B187" s="3" t="s">
        <v>159</v>
      </c>
      <c r="C187" s="3">
        <v>330</v>
      </c>
      <c r="D187" s="3">
        <v>195</v>
      </c>
      <c r="E187" s="3">
        <f t="shared" si="30"/>
        <v>185.25</v>
      </c>
      <c r="F187" s="3">
        <v>195</v>
      </c>
      <c r="G187" s="3">
        <v>625</v>
      </c>
    </row>
    <row r="188" spans="1:9">
      <c r="A188" s="3">
        <v>7</v>
      </c>
      <c r="B188" s="3" t="s">
        <v>160</v>
      </c>
      <c r="C188" s="3">
        <v>330</v>
      </c>
      <c r="D188" s="3">
        <v>95</v>
      </c>
      <c r="E188" s="3">
        <f t="shared" si="30"/>
        <v>90.25</v>
      </c>
      <c r="F188" s="3">
        <v>95</v>
      </c>
      <c r="G188" s="3">
        <v>385</v>
      </c>
    </row>
    <row r="189" spans="1:9">
      <c r="A189" s="3">
        <v>8</v>
      </c>
      <c r="B189" s="3" t="s">
        <v>161</v>
      </c>
      <c r="C189" s="3">
        <v>330</v>
      </c>
      <c r="D189" s="3">
        <v>195</v>
      </c>
      <c r="E189" s="3">
        <f t="shared" si="30"/>
        <v>185.25</v>
      </c>
      <c r="F189" s="3">
        <v>195</v>
      </c>
      <c r="G189" s="3">
        <v>625</v>
      </c>
    </row>
    <row r="190" spans="1:9">
      <c r="A190" s="3">
        <v>9</v>
      </c>
      <c r="B190" s="3" t="s">
        <v>162</v>
      </c>
      <c r="C190" s="3">
        <v>330</v>
      </c>
      <c r="D190" s="3">
        <v>80</v>
      </c>
      <c r="E190" s="3">
        <f t="shared" si="30"/>
        <v>76</v>
      </c>
      <c r="F190" s="3">
        <v>80</v>
      </c>
      <c r="G190" s="3">
        <v>350</v>
      </c>
    </row>
    <row r="191" spans="1:9">
      <c r="A191" s="3">
        <v>10</v>
      </c>
      <c r="B191" s="3" t="s">
        <v>163</v>
      </c>
      <c r="C191" s="3">
        <v>330</v>
      </c>
      <c r="D191" s="3">
        <v>165</v>
      </c>
      <c r="E191" s="3">
        <f t="shared" si="30"/>
        <v>156.75</v>
      </c>
      <c r="F191" s="3">
        <v>165</v>
      </c>
      <c r="G191" s="3">
        <v>450</v>
      </c>
      <c r="H191" s="14">
        <v>27</v>
      </c>
      <c r="I191" s="15" t="s">
        <v>17</v>
      </c>
    </row>
    <row r="192" ht="15.75" spans="1:9">
      <c r="A192" s="2" t="s">
        <v>0</v>
      </c>
      <c r="B192" s="2" t="s">
        <v>164</v>
      </c>
      <c r="C192" s="2" t="s">
        <v>2</v>
      </c>
      <c r="D192" s="2" t="s">
        <v>3</v>
      </c>
      <c r="E192" s="2" t="s">
        <v>4</v>
      </c>
      <c r="F192" s="2" t="s">
        <v>165</v>
      </c>
      <c r="G192" s="2" t="s">
        <v>6</v>
      </c>
    </row>
    <row r="193" spans="1:13">
      <c r="A193" s="3">
        <v>1</v>
      </c>
      <c r="B193" s="3" t="s">
        <v>166</v>
      </c>
      <c r="C193" s="3">
        <v>20000</v>
      </c>
      <c r="D193" s="3">
        <v>4800</v>
      </c>
      <c r="E193" s="3">
        <f>(D193-(D193*5%))</f>
        <v>4560</v>
      </c>
      <c r="F193" s="21">
        <f>D193/40</f>
        <v>120</v>
      </c>
      <c r="G193" s="3">
        <v>600</v>
      </c>
    </row>
    <row r="194" spans="1:13">
      <c r="A194" s="3"/>
      <c r="B194" s="3" t="s">
        <v>167</v>
      </c>
      <c r="C194" s="3">
        <v>50000</v>
      </c>
      <c r="D194" s="3">
        <v>6260</v>
      </c>
      <c r="E194" s="3">
        <f>(D194-(D194*5%))</f>
        <v>5947</v>
      </c>
      <c r="F194" s="21">
        <f>D194/100</f>
        <v>62.6</v>
      </c>
      <c r="G194" s="3">
        <v>300</v>
      </c>
      <c r="I194" s="19"/>
      <c r="J194" s="19"/>
      <c r="K194" s="19"/>
      <c r="L194" s="19"/>
      <c r="M194" s="19"/>
    </row>
    <row r="195" spans="1:13">
      <c r="A195" s="3"/>
      <c r="B195" s="3" t="s">
        <v>168</v>
      </c>
      <c r="C195" s="3">
        <v>50000</v>
      </c>
      <c r="D195" s="3">
        <v>6260</v>
      </c>
      <c r="E195" s="3">
        <f>(D195-(D195*5%))</f>
        <v>5947</v>
      </c>
      <c r="F195" s="21">
        <f>D195/50</f>
        <v>125.2</v>
      </c>
      <c r="G195" s="3">
        <v>550</v>
      </c>
      <c r="I195" s="19"/>
      <c r="J195" s="19"/>
      <c r="K195" s="19"/>
      <c r="L195" s="20"/>
      <c r="M195" s="19"/>
    </row>
    <row r="196" spans="1:13">
      <c r="A196" s="3"/>
      <c r="B196" s="3" t="s">
        <v>169</v>
      </c>
      <c r="C196" s="3">
        <v>50000</v>
      </c>
      <c r="D196" s="3">
        <v>6260</v>
      </c>
      <c r="E196" s="3">
        <f>(D196-(D196*5%))</f>
        <v>5947</v>
      </c>
      <c r="F196" s="21">
        <f>D196/16.5</f>
        <v>379.393939393939</v>
      </c>
      <c r="G196" s="3">
        <v>1600</v>
      </c>
      <c r="L196" s="17"/>
    </row>
    <row r="197" ht="15.75" spans="1:13">
      <c r="A197" s="3"/>
      <c r="B197" s="3"/>
      <c r="C197" s="3"/>
      <c r="D197" s="3"/>
      <c r="E197" s="3"/>
      <c r="F197" s="22"/>
      <c r="G197" s="3"/>
      <c r="H197" s="14">
        <v>22.5</v>
      </c>
      <c r="I197" s="23" t="s">
        <v>17</v>
      </c>
      <c r="J197" s="17"/>
      <c r="L197" s="17"/>
    </row>
    <row r="198" ht="15.75" spans="1:13">
      <c r="A198" s="2" t="s">
        <v>0</v>
      </c>
      <c r="B198" s="2" t="s">
        <v>170</v>
      </c>
      <c r="C198" s="2" t="s">
        <v>2</v>
      </c>
      <c r="D198" s="2" t="s">
        <v>3</v>
      </c>
      <c r="E198" s="2" t="s">
        <v>4</v>
      </c>
      <c r="F198" s="2" t="s">
        <v>171</v>
      </c>
      <c r="G198" s="2" t="s">
        <v>6</v>
      </c>
      <c r="H198" s="24" t="s">
        <v>172</v>
      </c>
      <c r="I198" s="25"/>
    </row>
    <row r="199" spans="1:13">
      <c r="A199" s="3">
        <v>1</v>
      </c>
      <c r="B199" s="3" t="s">
        <v>173</v>
      </c>
      <c r="C199" s="3">
        <v>750</v>
      </c>
      <c r="D199" s="3">
        <v>1435</v>
      </c>
      <c r="E199" s="3">
        <f>(D199-(D199*5%))</f>
        <v>1363.25</v>
      </c>
      <c r="F199" s="3">
        <f>D199/5</f>
        <v>287</v>
      </c>
      <c r="G199" s="3">
        <v>4310</v>
      </c>
      <c r="H199" s="3"/>
    </row>
    <row r="200" spans="1:13">
      <c r="A200" s="3">
        <v>2</v>
      </c>
      <c r="B200" s="3" t="s">
        <v>174</v>
      </c>
      <c r="C200" s="3">
        <v>750</v>
      </c>
      <c r="D200" s="3">
        <v>1435</v>
      </c>
      <c r="E200" s="3">
        <f t="shared" ref="E200:E210" si="31">(D200-(D200*5%))</f>
        <v>1363.25</v>
      </c>
      <c r="F200" s="3">
        <f t="shared" ref="F200:F210" si="32">D200/5</f>
        <v>287</v>
      </c>
      <c r="G200" s="3">
        <v>4310</v>
      </c>
      <c r="H200" s="3"/>
    </row>
    <row r="201" spans="1:13">
      <c r="A201" s="3">
        <v>3</v>
      </c>
      <c r="B201" s="3" t="s">
        <v>175</v>
      </c>
      <c r="C201" s="3">
        <v>750</v>
      </c>
      <c r="D201" s="3">
        <v>1440</v>
      </c>
      <c r="E201" s="3">
        <f t="shared" si="31"/>
        <v>1368</v>
      </c>
      <c r="F201" s="3">
        <f t="shared" si="32"/>
        <v>288</v>
      </c>
      <c r="G201" s="3">
        <v>4320</v>
      </c>
      <c r="H201" s="3"/>
    </row>
    <row r="202" spans="1:13">
      <c r="A202" s="3">
        <v>4</v>
      </c>
      <c r="B202" s="3" t="s">
        <v>176</v>
      </c>
      <c r="C202" s="3">
        <v>750</v>
      </c>
      <c r="D202" s="3">
        <v>1440</v>
      </c>
      <c r="E202" s="3">
        <f t="shared" si="31"/>
        <v>1368</v>
      </c>
      <c r="F202" s="3">
        <f t="shared" si="32"/>
        <v>288</v>
      </c>
      <c r="G202" s="3">
        <v>4320</v>
      </c>
      <c r="H202" s="3"/>
    </row>
    <row r="203" spans="1:13">
      <c r="A203" s="3">
        <v>5</v>
      </c>
      <c r="B203" s="3" t="s">
        <v>177</v>
      </c>
      <c r="C203" s="3">
        <v>750</v>
      </c>
      <c r="D203" s="3">
        <v>1100</v>
      </c>
      <c r="E203" s="3">
        <f t="shared" si="31"/>
        <v>1045</v>
      </c>
      <c r="F203" s="3">
        <f t="shared" si="32"/>
        <v>220</v>
      </c>
      <c r="G203" s="3">
        <v>3300</v>
      </c>
      <c r="H203" s="3">
        <f t="shared" ref="H203:H209" si="33">F203*3</f>
        <v>660</v>
      </c>
    </row>
    <row r="204" spans="1:13">
      <c r="A204" s="3">
        <v>6</v>
      </c>
      <c r="B204" s="3" t="s">
        <v>178</v>
      </c>
      <c r="C204" s="3">
        <v>750</v>
      </c>
      <c r="D204" s="3">
        <v>1100</v>
      </c>
      <c r="E204" s="3">
        <f t="shared" si="31"/>
        <v>1045</v>
      </c>
      <c r="F204" s="3">
        <f t="shared" si="32"/>
        <v>220</v>
      </c>
      <c r="G204" s="3">
        <v>3300</v>
      </c>
      <c r="H204" s="3">
        <f t="shared" si="33"/>
        <v>660</v>
      </c>
    </row>
    <row r="205" spans="1:13">
      <c r="A205" s="3">
        <v>7</v>
      </c>
      <c r="B205" s="3" t="s">
        <v>179</v>
      </c>
      <c r="C205" s="3">
        <v>750</v>
      </c>
      <c r="D205" s="3">
        <v>1700</v>
      </c>
      <c r="E205" s="3">
        <f t="shared" si="31"/>
        <v>1615</v>
      </c>
      <c r="F205" s="3">
        <f t="shared" si="32"/>
        <v>340</v>
      </c>
      <c r="G205" s="3">
        <v>5100</v>
      </c>
      <c r="H205" s="3"/>
    </row>
    <row r="206" spans="1:13">
      <c r="A206" s="3">
        <v>8</v>
      </c>
      <c r="B206" s="3" t="s">
        <v>180</v>
      </c>
      <c r="C206" s="3">
        <v>750</v>
      </c>
      <c r="D206" s="3">
        <v>2990</v>
      </c>
      <c r="E206" s="3">
        <f t="shared" si="31"/>
        <v>2840.5</v>
      </c>
      <c r="F206" s="3">
        <f t="shared" si="32"/>
        <v>598</v>
      </c>
      <c r="G206" s="3">
        <v>9000</v>
      </c>
      <c r="H206" s="3"/>
      <c r="L206" s="26"/>
    </row>
    <row r="207" spans="1:13">
      <c r="A207" s="3">
        <v>9</v>
      </c>
      <c r="B207" s="3" t="s">
        <v>181</v>
      </c>
      <c r="C207" s="3">
        <v>750</v>
      </c>
      <c r="D207" s="3">
        <v>2990</v>
      </c>
      <c r="E207" s="3">
        <f t="shared" si="31"/>
        <v>2840.5</v>
      </c>
      <c r="F207" s="3">
        <f t="shared" si="32"/>
        <v>598</v>
      </c>
      <c r="G207" s="3">
        <v>9000</v>
      </c>
      <c r="H207" s="3"/>
    </row>
    <row r="208" spans="1:13">
      <c r="A208" s="3">
        <v>10</v>
      </c>
      <c r="B208" s="3" t="s">
        <v>182</v>
      </c>
      <c r="C208" s="3">
        <v>750</v>
      </c>
      <c r="D208" s="3">
        <v>910</v>
      </c>
      <c r="E208" s="3">
        <f t="shared" si="31"/>
        <v>864.5</v>
      </c>
      <c r="F208" s="3">
        <f t="shared" si="32"/>
        <v>182</v>
      </c>
      <c r="G208" s="3">
        <v>2700</v>
      </c>
      <c r="H208" s="3">
        <v>550</v>
      </c>
    </row>
    <row r="209" spans="1:11">
      <c r="A209" s="3">
        <v>11</v>
      </c>
      <c r="B209" s="3" t="s">
        <v>183</v>
      </c>
      <c r="C209" s="3">
        <v>750</v>
      </c>
      <c r="D209" s="3">
        <v>1050</v>
      </c>
      <c r="E209" s="3">
        <f t="shared" si="31"/>
        <v>997.5</v>
      </c>
      <c r="F209" s="3">
        <f t="shared" si="32"/>
        <v>210</v>
      </c>
      <c r="G209" s="3">
        <v>2700</v>
      </c>
      <c r="H209" s="3">
        <f t="shared" si="33"/>
        <v>630</v>
      </c>
    </row>
    <row r="210" spans="1:11">
      <c r="A210" s="3">
        <v>12</v>
      </c>
      <c r="B210" s="3" t="s">
        <v>184</v>
      </c>
      <c r="C210" s="3">
        <v>750</v>
      </c>
      <c r="D210" s="3">
        <v>1415</v>
      </c>
      <c r="E210" s="3">
        <f t="shared" si="31"/>
        <v>1344.25</v>
      </c>
      <c r="F210" s="3">
        <f t="shared" si="32"/>
        <v>283</v>
      </c>
      <c r="G210" s="3">
        <v>4250</v>
      </c>
      <c r="H210" s="3"/>
    </row>
    <row r="211" spans="1:11">
      <c r="A211" s="3"/>
      <c r="B211" s="3"/>
      <c r="C211" s="3"/>
      <c r="D211" s="3"/>
      <c r="E211" s="3"/>
      <c r="F211" s="3"/>
      <c r="G211" s="3"/>
      <c r="H211" s="14">
        <v>33.3</v>
      </c>
      <c r="I211" s="15" t="s">
        <v>17</v>
      </c>
    </row>
    <row r="212" spans="1:11">
      <c r="A212" s="3"/>
      <c r="B212" s="3"/>
      <c r="C212" s="3"/>
      <c r="D212" s="3"/>
      <c r="E212" s="3"/>
      <c r="F212" s="3"/>
      <c r="G212" s="3"/>
      <c r="H212" s="3"/>
    </row>
    <row r="213" spans="1:11">
      <c r="A213" s="3"/>
      <c r="B213" s="3"/>
      <c r="C213" s="3"/>
      <c r="D213" s="3"/>
      <c r="E213" s="3"/>
      <c r="F213" s="3"/>
      <c r="G213" s="3"/>
      <c r="H213" s="3"/>
    </row>
    <row r="214" spans="1:11">
      <c r="A214" s="3"/>
      <c r="B214" s="3"/>
      <c r="C214" s="3"/>
      <c r="D214" s="3"/>
      <c r="E214" s="3"/>
      <c r="F214" s="3"/>
      <c r="G214" s="3"/>
      <c r="H214" s="27"/>
    </row>
    <row r="215" spans="1:11">
      <c r="A215" s="3"/>
      <c r="B215" s="3"/>
      <c r="C215" s="3"/>
      <c r="D215" s="3"/>
      <c r="E215" s="3"/>
      <c r="F215" s="3"/>
      <c r="G215" s="28"/>
      <c r="H215" s="14">
        <v>33.6</v>
      </c>
      <c r="I215" s="15" t="s">
        <v>17</v>
      </c>
    </row>
    <row r="216" ht="15.75" spans="1:11">
      <c r="A216" s="2" t="s">
        <v>0</v>
      </c>
      <c r="B216" s="2" t="s">
        <v>185</v>
      </c>
      <c r="C216" s="2" t="s">
        <v>2</v>
      </c>
      <c r="D216" s="2" t="s">
        <v>3</v>
      </c>
      <c r="E216" s="2" t="s">
        <v>4</v>
      </c>
      <c r="F216" s="2" t="s">
        <v>186</v>
      </c>
      <c r="G216" s="2" t="s">
        <v>6</v>
      </c>
    </row>
    <row r="217" spans="1:11">
      <c r="A217" s="3">
        <v>1</v>
      </c>
      <c r="B217" s="3" t="s">
        <v>187</v>
      </c>
      <c r="C217" s="3">
        <v>750</v>
      </c>
      <c r="D217" s="3">
        <v>5680</v>
      </c>
      <c r="E217" s="3">
        <f>(D217-(D217*5%))</f>
        <v>5396</v>
      </c>
      <c r="F217" s="3">
        <v>5680</v>
      </c>
      <c r="G217" s="3">
        <v>16000</v>
      </c>
    </row>
    <row r="218" spans="1:11">
      <c r="A218" s="3">
        <v>2</v>
      </c>
      <c r="B218" s="3" t="s">
        <v>188</v>
      </c>
      <c r="C218" s="3">
        <v>750</v>
      </c>
      <c r="D218" s="3">
        <v>2040</v>
      </c>
      <c r="E218" s="3">
        <f t="shared" ref="E218:E222" si="34">(D218-(D218*5%))</f>
        <v>1938</v>
      </c>
      <c r="F218" s="3">
        <v>2040</v>
      </c>
      <c r="G218" s="3">
        <v>7000</v>
      </c>
    </row>
    <row r="219" spans="1:11">
      <c r="A219" s="3">
        <v>3</v>
      </c>
      <c r="B219" s="3" t="s">
        <v>189</v>
      </c>
      <c r="C219" s="3">
        <v>750</v>
      </c>
      <c r="D219" s="3">
        <v>595</v>
      </c>
      <c r="E219" s="3">
        <f t="shared" si="34"/>
        <v>565.25</v>
      </c>
      <c r="F219" s="3">
        <v>595</v>
      </c>
      <c r="G219" s="3">
        <v>2500</v>
      </c>
    </row>
    <row r="220" spans="1:11">
      <c r="A220" s="3">
        <v>4</v>
      </c>
      <c r="B220" s="3" t="s">
        <v>190</v>
      </c>
      <c r="C220" s="3">
        <v>750</v>
      </c>
      <c r="D220" s="3">
        <v>2275</v>
      </c>
      <c r="E220" s="3">
        <f t="shared" si="34"/>
        <v>2161.25</v>
      </c>
      <c r="F220" s="3">
        <v>2275</v>
      </c>
      <c r="G220" s="3">
        <v>7500</v>
      </c>
    </row>
    <row r="221" spans="1:11">
      <c r="A221" s="3">
        <v>5</v>
      </c>
      <c r="B221" s="3" t="s">
        <v>191</v>
      </c>
      <c r="C221" s="3">
        <v>750</v>
      </c>
      <c r="D221" s="3">
        <v>2185</v>
      </c>
      <c r="E221" s="3">
        <f t="shared" si="34"/>
        <v>2075.75</v>
      </c>
      <c r="F221" s="3">
        <v>2185</v>
      </c>
      <c r="G221" s="3">
        <v>8000</v>
      </c>
    </row>
    <row r="222" spans="1:11">
      <c r="A222" s="3">
        <v>6</v>
      </c>
      <c r="B222" s="3" t="s">
        <v>192</v>
      </c>
      <c r="C222" s="3">
        <v>750</v>
      </c>
      <c r="D222" s="3">
        <v>1150</v>
      </c>
      <c r="E222" s="3">
        <f t="shared" si="34"/>
        <v>1092.5</v>
      </c>
      <c r="F222" s="3">
        <v>1150</v>
      </c>
      <c r="G222" s="3">
        <v>3500</v>
      </c>
    </row>
    <row r="223" spans="1:11">
      <c r="A223" s="3"/>
      <c r="B223" s="3"/>
      <c r="C223" s="3"/>
      <c r="D223" s="3"/>
      <c r="E223" s="3"/>
      <c r="F223" s="3"/>
      <c r="G223" s="3"/>
      <c r="H223" s="14">
        <v>31.3</v>
      </c>
      <c r="I223" s="15" t="s">
        <v>17</v>
      </c>
      <c r="K223" s="17"/>
    </row>
    <row r="226" spans="8:8">
      <c r="H226" s="17"/>
    </row>
  </sheetData>
  <mergeCells count="1">
    <mergeCell ref="I3:M6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9"/>
  <sheetViews>
    <sheetView workbookViewId="0">
      <selection activeCell="L19" sqref="L19"/>
    </sheetView>
  </sheetViews>
  <sheetFormatPr defaultColWidth="9" defaultRowHeight="15"/>
  <cols>
    <col min="1" max="1" width="8.42857142857143" customWidth="1"/>
    <col min="2" max="2" width="34" customWidth="1"/>
    <col min="5" max="5" width="12.1428571428571" customWidth="1"/>
    <col min="6" max="6" width="15.5714285714286" customWidth="1"/>
    <col min="7" max="7" width="16" customWidth="1"/>
    <col min="10" max="10" width="9.57142857142857" customWidth="1"/>
    <col min="11" max="11" width="33.5714285714286" customWidth="1"/>
  </cols>
  <sheetData>
    <row r="1" ht="16.5" spans="1:15">
      <c r="A1" s="29" t="s">
        <v>0</v>
      </c>
      <c r="B1" s="29" t="s">
        <v>193</v>
      </c>
      <c r="C1" s="29" t="s">
        <v>2</v>
      </c>
      <c r="D1" s="29" t="s">
        <v>3</v>
      </c>
      <c r="E1" s="2" t="s">
        <v>4</v>
      </c>
      <c r="F1" s="29" t="s">
        <v>5</v>
      </c>
      <c r="G1" s="29" t="s">
        <v>6</v>
      </c>
    </row>
    <row r="2" spans="1:15">
      <c r="A2" s="30"/>
      <c r="B2" s="31" t="s">
        <v>194</v>
      </c>
      <c r="C2" s="32">
        <v>750</v>
      </c>
      <c r="D2" s="32">
        <v>880</v>
      </c>
      <c r="E2" s="3">
        <f t="shared" ref="E2:E4" si="0">(D2-(D2*5%))</f>
        <v>836</v>
      </c>
      <c r="F2" s="3">
        <f t="shared" ref="F2:F11" si="1">D2/25</f>
        <v>35.2</v>
      </c>
      <c r="G2" s="32">
        <v>100</v>
      </c>
      <c r="K2" s="4" t="s">
        <v>195</v>
      </c>
      <c r="L2" s="5"/>
      <c r="M2" s="5"/>
      <c r="N2" s="5"/>
      <c r="O2" s="6"/>
    </row>
    <row r="3" spans="1:15">
      <c r="A3" s="30"/>
      <c r="B3" s="31" t="s">
        <v>196</v>
      </c>
      <c r="C3" s="32">
        <v>750</v>
      </c>
      <c r="D3" s="32">
        <v>1900</v>
      </c>
      <c r="E3" s="3">
        <f t="shared" si="0"/>
        <v>1805</v>
      </c>
      <c r="F3" s="3">
        <f t="shared" si="1"/>
        <v>76</v>
      </c>
      <c r="G3" s="32">
        <v>200</v>
      </c>
      <c r="K3" s="7"/>
      <c r="L3" s="8"/>
      <c r="M3" s="8"/>
      <c r="N3" s="8"/>
      <c r="O3" s="9"/>
    </row>
    <row r="4" spans="1:15">
      <c r="A4" s="30"/>
      <c r="B4" s="31" t="s">
        <v>197</v>
      </c>
      <c r="C4" s="32">
        <v>750</v>
      </c>
      <c r="D4" s="32">
        <v>820</v>
      </c>
      <c r="E4" s="3">
        <f t="shared" si="0"/>
        <v>779</v>
      </c>
      <c r="F4" s="3">
        <f t="shared" si="1"/>
        <v>32.8</v>
      </c>
      <c r="G4" s="32">
        <v>100</v>
      </c>
      <c r="K4" s="7"/>
      <c r="L4" s="8"/>
      <c r="M4" s="8"/>
      <c r="N4" s="8"/>
      <c r="O4" s="9"/>
    </row>
    <row r="5" ht="15.75" spans="1:15">
      <c r="A5" s="30"/>
      <c r="B5" s="31"/>
      <c r="C5" s="32"/>
      <c r="D5" s="32"/>
      <c r="E5" s="3"/>
      <c r="F5" s="3"/>
      <c r="G5" s="32"/>
      <c r="H5" s="14">
        <v>36</v>
      </c>
      <c r="I5" s="30" t="s">
        <v>17</v>
      </c>
      <c r="K5" s="10"/>
      <c r="L5" s="11"/>
      <c r="M5" s="11"/>
      <c r="N5" s="11"/>
      <c r="O5" s="12"/>
    </row>
    <row r="6" ht="15.75" spans="1:15">
      <c r="A6" s="29" t="s">
        <v>0</v>
      </c>
      <c r="B6" s="29" t="s">
        <v>198</v>
      </c>
      <c r="C6" s="29" t="s">
        <v>2</v>
      </c>
      <c r="D6" s="29" t="s">
        <v>3</v>
      </c>
      <c r="E6" s="2" t="s">
        <v>4</v>
      </c>
      <c r="F6" s="29" t="s">
        <v>5</v>
      </c>
      <c r="G6" s="29" t="s">
        <v>6</v>
      </c>
    </row>
    <row r="7" spans="1:15">
      <c r="A7" s="33"/>
      <c r="B7" s="34" t="s">
        <v>199</v>
      </c>
      <c r="C7" s="32">
        <v>750</v>
      </c>
      <c r="D7" s="32">
        <v>990</v>
      </c>
      <c r="E7" s="3">
        <f>(D7-(D7*5%))</f>
        <v>940.5</v>
      </c>
      <c r="F7" s="3">
        <f t="shared" si="1"/>
        <v>39.6</v>
      </c>
      <c r="G7" s="32">
        <v>120</v>
      </c>
      <c r="J7" s="17"/>
    </row>
    <row r="8" spans="1:15">
      <c r="A8" s="33"/>
      <c r="B8" s="34" t="s">
        <v>200</v>
      </c>
      <c r="C8" s="32">
        <v>750</v>
      </c>
      <c r="D8" s="32">
        <v>1130</v>
      </c>
      <c r="E8" s="3">
        <f t="shared" ref="E8:E11" si="2">(D8-(D8*5%))</f>
        <v>1073.5</v>
      </c>
      <c r="F8" s="3">
        <f t="shared" si="1"/>
        <v>45.2</v>
      </c>
      <c r="G8" s="32">
        <v>130</v>
      </c>
    </row>
    <row r="9" spans="1:15">
      <c r="A9" s="33"/>
      <c r="B9" s="34" t="s">
        <v>201</v>
      </c>
      <c r="C9" s="32">
        <v>750</v>
      </c>
      <c r="D9" s="32">
        <v>1150</v>
      </c>
      <c r="E9" s="3">
        <f t="shared" si="2"/>
        <v>1092.5</v>
      </c>
      <c r="F9" s="3">
        <f t="shared" si="1"/>
        <v>46</v>
      </c>
      <c r="G9" s="32">
        <v>130</v>
      </c>
    </row>
    <row r="10" spans="1:15">
      <c r="A10" s="33"/>
      <c r="B10" s="34" t="s">
        <v>202</v>
      </c>
      <c r="C10" s="32">
        <v>750</v>
      </c>
      <c r="D10" s="32">
        <v>1110</v>
      </c>
      <c r="E10" s="3">
        <f t="shared" si="2"/>
        <v>1054.5</v>
      </c>
      <c r="F10" s="3">
        <f t="shared" si="1"/>
        <v>44.4</v>
      </c>
      <c r="G10" s="32">
        <v>130</v>
      </c>
    </row>
    <row r="11" spans="1:15">
      <c r="A11" s="35"/>
      <c r="B11" s="31" t="s">
        <v>203</v>
      </c>
      <c r="C11" s="32">
        <v>750</v>
      </c>
      <c r="D11" s="32">
        <v>950</v>
      </c>
      <c r="E11" s="3">
        <f t="shared" si="2"/>
        <v>902.5</v>
      </c>
      <c r="F11" s="3">
        <f t="shared" si="1"/>
        <v>38</v>
      </c>
      <c r="G11" s="32">
        <v>120</v>
      </c>
    </row>
    <row r="12" spans="1:15">
      <c r="A12" s="35"/>
      <c r="B12" s="31"/>
      <c r="C12" s="32"/>
      <c r="D12" s="32"/>
      <c r="E12" s="3"/>
      <c r="F12" s="3">
        <f>SUM(F7:F11)</f>
        <v>213.2</v>
      </c>
      <c r="G12" s="32">
        <f>SUM(G7:G11)</f>
        <v>630</v>
      </c>
      <c r="H12" s="14">
        <v>33.8</v>
      </c>
      <c r="I12" s="36" t="s">
        <v>17</v>
      </c>
    </row>
    <row r="13" ht="15.75" spans="1:15">
      <c r="A13" s="29" t="s">
        <v>0</v>
      </c>
      <c r="B13" s="29" t="s">
        <v>34</v>
      </c>
      <c r="C13" s="29" t="s">
        <v>2</v>
      </c>
      <c r="D13" s="29" t="s">
        <v>3</v>
      </c>
      <c r="E13" s="2" t="s">
        <v>4</v>
      </c>
      <c r="F13" s="29" t="s">
        <v>5</v>
      </c>
      <c r="G13" s="29" t="s">
        <v>6</v>
      </c>
    </row>
    <row r="14" spans="1:15">
      <c r="A14" s="30"/>
      <c r="B14" s="31" t="s">
        <v>204</v>
      </c>
      <c r="C14" s="32">
        <v>750</v>
      </c>
      <c r="D14" s="32">
        <v>1770</v>
      </c>
      <c r="E14" s="3">
        <f>(D14-(D14*5%))</f>
        <v>1681.5</v>
      </c>
      <c r="F14" s="3">
        <f>D14/25</f>
        <v>70.8</v>
      </c>
      <c r="G14" s="32">
        <v>200</v>
      </c>
    </row>
    <row r="15" spans="1:15">
      <c r="A15" s="30"/>
      <c r="B15" s="31" t="s">
        <v>205</v>
      </c>
      <c r="C15" s="32">
        <v>750</v>
      </c>
      <c r="D15" s="32">
        <v>1400</v>
      </c>
      <c r="E15" s="3">
        <f t="shared" ref="E15:E19" si="3">(D15-(D15*5%))</f>
        <v>1330</v>
      </c>
      <c r="F15" s="3">
        <f t="shared" ref="F15:F36" si="4">D15/25</f>
        <v>56</v>
      </c>
      <c r="G15" s="32">
        <v>200</v>
      </c>
      <c r="J15" s="17"/>
    </row>
    <row r="16" spans="1:15">
      <c r="A16" s="30"/>
      <c r="B16" s="31" t="s">
        <v>206</v>
      </c>
      <c r="C16" s="32">
        <v>750</v>
      </c>
      <c r="D16" s="32">
        <v>1830</v>
      </c>
      <c r="E16" s="3">
        <f t="shared" si="3"/>
        <v>1738.5</v>
      </c>
      <c r="F16" s="3">
        <f t="shared" si="4"/>
        <v>73.2</v>
      </c>
      <c r="G16" s="32">
        <v>220</v>
      </c>
    </row>
    <row r="17" spans="1:10">
      <c r="A17" s="30"/>
      <c r="B17" s="31" t="s">
        <v>207</v>
      </c>
      <c r="C17" s="32">
        <v>750</v>
      </c>
      <c r="D17" s="32">
        <v>1890</v>
      </c>
      <c r="E17" s="3">
        <f t="shared" si="3"/>
        <v>1795.5</v>
      </c>
      <c r="F17" s="3">
        <f t="shared" si="4"/>
        <v>75.6</v>
      </c>
      <c r="G17" s="32">
        <v>220</v>
      </c>
    </row>
    <row r="18" spans="1:10">
      <c r="A18" s="30"/>
      <c r="B18" s="31" t="s">
        <v>208</v>
      </c>
      <c r="C18" s="32">
        <v>750</v>
      </c>
      <c r="D18" s="32">
        <v>1950</v>
      </c>
      <c r="E18" s="3">
        <f t="shared" si="3"/>
        <v>1852.5</v>
      </c>
      <c r="F18" s="3">
        <f t="shared" si="4"/>
        <v>78</v>
      </c>
      <c r="G18" s="32">
        <v>230</v>
      </c>
    </row>
    <row r="19" spans="1:10">
      <c r="A19" s="35"/>
      <c r="B19" s="31" t="s">
        <v>209</v>
      </c>
      <c r="C19" s="32">
        <v>750</v>
      </c>
      <c r="D19" s="32">
        <v>2390</v>
      </c>
      <c r="E19" s="3">
        <f t="shared" si="3"/>
        <v>2270.5</v>
      </c>
      <c r="F19" s="3">
        <f t="shared" si="4"/>
        <v>95.6</v>
      </c>
      <c r="G19" s="32">
        <v>230</v>
      </c>
    </row>
    <row r="20" spans="1:10">
      <c r="A20" s="35"/>
      <c r="B20" s="31"/>
      <c r="C20" s="32"/>
      <c r="D20" s="32"/>
      <c r="E20" s="3"/>
      <c r="F20" s="3"/>
      <c r="G20" s="32"/>
      <c r="H20" s="14">
        <v>34.6</v>
      </c>
      <c r="I20" s="36" t="s">
        <v>17</v>
      </c>
    </row>
    <row r="21" ht="15.75" spans="1:10">
      <c r="A21" s="29" t="s">
        <v>0</v>
      </c>
      <c r="B21" s="29" t="s">
        <v>210</v>
      </c>
      <c r="C21" s="29" t="s">
        <v>2</v>
      </c>
      <c r="D21" s="29" t="s">
        <v>3</v>
      </c>
      <c r="E21" s="2" t="s">
        <v>4</v>
      </c>
      <c r="F21" s="29" t="s">
        <v>5</v>
      </c>
      <c r="G21" s="29" t="s">
        <v>6</v>
      </c>
    </row>
    <row r="22" spans="1:10">
      <c r="A22" s="35"/>
      <c r="B22" s="31" t="s">
        <v>211</v>
      </c>
      <c r="C22" s="32">
        <v>750</v>
      </c>
      <c r="D22" s="32">
        <v>2990</v>
      </c>
      <c r="E22" s="3">
        <f t="shared" ref="E22:E24" si="5">(D22-(D22*5%))</f>
        <v>2840.5</v>
      </c>
      <c r="F22" s="3">
        <f t="shared" si="4"/>
        <v>119.6</v>
      </c>
      <c r="G22" s="32">
        <v>300</v>
      </c>
      <c r="J22" s="17"/>
    </row>
    <row r="23" spans="1:10">
      <c r="A23" s="35"/>
      <c r="B23" s="31" t="s">
        <v>212</v>
      </c>
      <c r="C23" s="32">
        <v>750</v>
      </c>
      <c r="D23" s="32">
        <v>3150</v>
      </c>
      <c r="E23" s="3">
        <f t="shared" si="5"/>
        <v>2992.5</v>
      </c>
      <c r="F23" s="3">
        <f t="shared" si="4"/>
        <v>126</v>
      </c>
      <c r="G23" s="32">
        <v>300</v>
      </c>
    </row>
    <row r="24" spans="1:10">
      <c r="A24" s="35"/>
      <c r="B24" s="31" t="s">
        <v>213</v>
      </c>
      <c r="C24" s="32">
        <v>750</v>
      </c>
      <c r="D24" s="32">
        <v>2500</v>
      </c>
      <c r="E24" s="3">
        <f t="shared" si="5"/>
        <v>2375</v>
      </c>
      <c r="F24" s="3">
        <f t="shared" si="4"/>
        <v>100</v>
      </c>
      <c r="G24" s="32">
        <v>300</v>
      </c>
    </row>
    <row r="25" spans="1:10">
      <c r="A25" s="35"/>
      <c r="B25" s="31"/>
      <c r="C25" s="32"/>
      <c r="D25" s="32"/>
      <c r="E25" s="3"/>
      <c r="F25" s="3"/>
      <c r="G25" s="32"/>
      <c r="H25" s="14">
        <v>38.4</v>
      </c>
      <c r="I25" s="36" t="s">
        <v>17</v>
      </c>
    </row>
    <row r="26" ht="15.75" spans="1:10">
      <c r="A26" s="29" t="s">
        <v>0</v>
      </c>
      <c r="B26" s="29" t="s">
        <v>20</v>
      </c>
      <c r="C26" s="29" t="s">
        <v>2</v>
      </c>
      <c r="D26" s="29" t="s">
        <v>3</v>
      </c>
      <c r="E26" s="2" t="s">
        <v>4</v>
      </c>
      <c r="F26" s="29" t="s">
        <v>5</v>
      </c>
      <c r="G26" s="29" t="s">
        <v>6</v>
      </c>
    </row>
    <row r="27" spans="1:10">
      <c r="A27" s="35"/>
      <c r="B27" s="37" t="s">
        <v>214</v>
      </c>
      <c r="C27" s="3">
        <v>750</v>
      </c>
      <c r="D27" s="3">
        <v>4750</v>
      </c>
      <c r="E27" s="3">
        <f t="shared" ref="E27:E28" si="6">(D27-(D27*5%))</f>
        <v>4512.5</v>
      </c>
      <c r="F27" s="3">
        <f t="shared" si="4"/>
        <v>190</v>
      </c>
      <c r="G27" s="32">
        <v>350</v>
      </c>
    </row>
    <row r="28" spans="1:10">
      <c r="A28" s="35"/>
      <c r="B28" s="37" t="s">
        <v>215</v>
      </c>
      <c r="C28" s="3">
        <v>750</v>
      </c>
      <c r="D28" s="3">
        <v>4190</v>
      </c>
      <c r="E28" s="3">
        <f t="shared" si="6"/>
        <v>3980.5</v>
      </c>
      <c r="F28" s="3">
        <f t="shared" si="4"/>
        <v>167.6</v>
      </c>
      <c r="G28" s="32">
        <v>350</v>
      </c>
    </row>
    <row r="29" spans="1:10">
      <c r="A29" s="35"/>
      <c r="B29" s="31"/>
      <c r="C29" s="32"/>
      <c r="D29" s="32"/>
      <c r="E29" s="3"/>
      <c r="F29" s="3"/>
      <c r="G29" s="32"/>
      <c r="H29" s="38">
        <v>51.8</v>
      </c>
      <c r="I29" s="36" t="s">
        <v>17</v>
      </c>
    </row>
    <row r="30" ht="15.75" spans="1:10">
      <c r="A30" s="29" t="s">
        <v>0</v>
      </c>
      <c r="B30" s="29" t="s">
        <v>82</v>
      </c>
      <c r="C30" s="29" t="s">
        <v>2</v>
      </c>
      <c r="D30" s="29" t="s">
        <v>3</v>
      </c>
      <c r="E30" s="2" t="s">
        <v>4</v>
      </c>
      <c r="F30" s="29" t="s">
        <v>5</v>
      </c>
      <c r="G30" s="29" t="s">
        <v>6</v>
      </c>
    </row>
    <row r="31" spans="1:10">
      <c r="A31" s="30"/>
      <c r="B31" s="31" t="s">
        <v>216</v>
      </c>
      <c r="C31" s="32">
        <v>750</v>
      </c>
      <c r="D31" s="32">
        <v>800</v>
      </c>
      <c r="E31" s="3">
        <f t="shared" ref="E31:E36" si="7">(D31-(D31*5%))</f>
        <v>760</v>
      </c>
      <c r="F31" s="3">
        <f t="shared" si="4"/>
        <v>32</v>
      </c>
      <c r="G31" s="32">
        <v>100</v>
      </c>
      <c r="J31" s="39"/>
    </row>
    <row r="32" spans="1:10">
      <c r="A32" s="35"/>
      <c r="B32" s="31" t="s">
        <v>217</v>
      </c>
      <c r="C32" s="32">
        <v>750</v>
      </c>
      <c r="D32" s="32">
        <v>1430</v>
      </c>
      <c r="E32" s="3">
        <f t="shared" si="7"/>
        <v>1358.5</v>
      </c>
      <c r="F32" s="3">
        <f t="shared" si="4"/>
        <v>57.2</v>
      </c>
      <c r="G32" s="32">
        <v>150</v>
      </c>
    </row>
    <row r="33" spans="1:9">
      <c r="A33" s="35"/>
      <c r="B33" s="31"/>
      <c r="C33" s="32"/>
      <c r="D33" s="32"/>
      <c r="E33" s="3"/>
      <c r="F33" s="3"/>
      <c r="G33" s="32"/>
      <c r="H33" s="38">
        <v>35.6</v>
      </c>
      <c r="I33" s="36" t="s">
        <v>17</v>
      </c>
    </row>
    <row r="34" ht="15.75" spans="1:9">
      <c r="A34" s="29" t="s">
        <v>0</v>
      </c>
      <c r="B34" s="29" t="s">
        <v>111</v>
      </c>
      <c r="C34" s="29" t="s">
        <v>2</v>
      </c>
      <c r="D34" s="29" t="s">
        <v>3</v>
      </c>
      <c r="E34" s="2" t="s">
        <v>4</v>
      </c>
      <c r="F34" s="29" t="s">
        <v>5</v>
      </c>
      <c r="G34" s="29" t="s">
        <v>6</v>
      </c>
    </row>
    <row r="35" spans="1:9">
      <c r="A35" s="40"/>
      <c r="B35" s="41" t="s">
        <v>218</v>
      </c>
      <c r="C35" s="32">
        <v>750</v>
      </c>
      <c r="D35" s="32">
        <v>560</v>
      </c>
      <c r="E35" s="3">
        <f t="shared" si="7"/>
        <v>532</v>
      </c>
      <c r="F35" s="3">
        <f t="shared" si="4"/>
        <v>22.4</v>
      </c>
      <c r="G35" s="32">
        <v>70</v>
      </c>
    </row>
    <row r="36" spans="1:9">
      <c r="A36" s="40"/>
      <c r="B36" s="41" t="s">
        <v>219</v>
      </c>
      <c r="C36" s="32">
        <v>750</v>
      </c>
      <c r="D36" s="32">
        <v>840</v>
      </c>
      <c r="E36" s="3">
        <f t="shared" si="7"/>
        <v>798</v>
      </c>
      <c r="F36" s="3">
        <f t="shared" si="4"/>
        <v>33.6</v>
      </c>
      <c r="G36" s="32">
        <v>120</v>
      </c>
    </row>
    <row r="37" spans="1:9">
      <c r="A37" s="35"/>
      <c r="B37" s="42"/>
      <c r="C37" s="32"/>
      <c r="D37" s="32"/>
      <c r="E37" s="3"/>
      <c r="F37" s="3"/>
      <c r="G37" s="32"/>
      <c r="H37" s="38">
        <v>29.4</v>
      </c>
      <c r="I37" s="36" t="s">
        <v>17</v>
      </c>
    </row>
    <row r="38" ht="15.75" spans="1:9">
      <c r="A38" s="29" t="s">
        <v>0</v>
      </c>
      <c r="B38" s="29" t="s">
        <v>220</v>
      </c>
      <c r="C38" s="29" t="s">
        <v>2</v>
      </c>
      <c r="D38" s="29" t="s">
        <v>3</v>
      </c>
      <c r="E38" s="2" t="s">
        <v>4</v>
      </c>
      <c r="F38" s="29" t="s">
        <v>5</v>
      </c>
      <c r="G38" s="29" t="s">
        <v>6</v>
      </c>
    </row>
    <row r="39" spans="1:9">
      <c r="A39" s="35"/>
      <c r="B39" s="43" t="s">
        <v>80</v>
      </c>
      <c r="C39" s="32">
        <v>750</v>
      </c>
      <c r="D39" s="32">
        <v>990</v>
      </c>
      <c r="E39" s="3">
        <f t="shared" ref="E39:E47" si="8">(D39-(D39*5%))</f>
        <v>940.5</v>
      </c>
      <c r="F39" s="3">
        <f t="shared" ref="F39" si="9">D39/25</f>
        <v>39.6</v>
      </c>
      <c r="G39" s="32">
        <v>120</v>
      </c>
    </row>
    <row r="40" spans="1:9">
      <c r="A40" s="35"/>
      <c r="B40" s="43"/>
      <c r="C40" s="32"/>
      <c r="D40" s="32"/>
      <c r="E40" s="3"/>
      <c r="F40" s="3"/>
      <c r="G40" s="32"/>
      <c r="H40" s="14">
        <v>33</v>
      </c>
      <c r="I40" s="36" t="s">
        <v>17</v>
      </c>
    </row>
    <row r="41" ht="15.75" spans="1:9">
      <c r="A41" s="29" t="s">
        <v>0</v>
      </c>
      <c r="B41" s="29" t="s">
        <v>221</v>
      </c>
      <c r="C41" s="29" t="s">
        <v>2</v>
      </c>
      <c r="D41" s="29" t="s">
        <v>3</v>
      </c>
      <c r="E41" s="2" t="s">
        <v>4</v>
      </c>
      <c r="F41" s="29" t="s">
        <v>5</v>
      </c>
      <c r="G41" s="29" t="s">
        <v>6</v>
      </c>
    </row>
    <row r="42" spans="1:9">
      <c r="A42" s="30"/>
      <c r="B42" s="31" t="s">
        <v>222</v>
      </c>
      <c r="C42" s="32">
        <v>275</v>
      </c>
      <c r="D42" s="32">
        <v>110</v>
      </c>
      <c r="E42" s="3">
        <f t="shared" si="8"/>
        <v>104.5</v>
      </c>
      <c r="F42" s="3">
        <v>110</v>
      </c>
      <c r="G42" s="32">
        <v>250</v>
      </c>
    </row>
    <row r="43" spans="1:9">
      <c r="A43" s="30"/>
      <c r="B43" s="31" t="s">
        <v>223</v>
      </c>
      <c r="C43" s="32">
        <v>275</v>
      </c>
      <c r="D43" s="32">
        <v>110</v>
      </c>
      <c r="E43" s="3">
        <f t="shared" si="8"/>
        <v>104.5</v>
      </c>
      <c r="F43" s="3">
        <v>110</v>
      </c>
      <c r="G43" s="32">
        <v>240</v>
      </c>
    </row>
    <row r="44" spans="1:9">
      <c r="A44" s="30"/>
      <c r="B44" s="31"/>
      <c r="C44" s="32"/>
      <c r="D44" s="32"/>
      <c r="E44" s="3"/>
      <c r="F44" s="3"/>
      <c r="G44" s="32"/>
      <c r="H44" s="38">
        <v>44.8</v>
      </c>
      <c r="I44" s="36" t="s">
        <v>17</v>
      </c>
    </row>
    <row r="45" ht="15.75" spans="1:9">
      <c r="A45" s="29" t="s">
        <v>0</v>
      </c>
      <c r="B45" s="29" t="s">
        <v>224</v>
      </c>
      <c r="C45" s="29" t="s">
        <v>2</v>
      </c>
      <c r="D45" s="29" t="s">
        <v>3</v>
      </c>
      <c r="E45" s="2" t="s">
        <v>4</v>
      </c>
      <c r="F45" s="29" t="s">
        <v>153</v>
      </c>
      <c r="G45" s="29" t="s">
        <v>6</v>
      </c>
    </row>
    <row r="46" spans="1:9">
      <c r="A46" s="30"/>
      <c r="B46" s="44" t="s">
        <v>225</v>
      </c>
      <c r="C46" s="32">
        <v>50000</v>
      </c>
      <c r="D46" s="32">
        <v>4800</v>
      </c>
      <c r="E46" s="3">
        <f t="shared" si="8"/>
        <v>4560</v>
      </c>
      <c r="F46" s="3">
        <f>D46/151</f>
        <v>31.7880794701987</v>
      </c>
      <c r="G46" s="32">
        <v>169</v>
      </c>
      <c r="H46" s="45"/>
    </row>
    <row r="47" spans="1:9">
      <c r="A47" s="32"/>
      <c r="B47" s="43" t="s">
        <v>226</v>
      </c>
      <c r="C47" s="32">
        <v>330</v>
      </c>
      <c r="D47" s="32">
        <v>55</v>
      </c>
      <c r="E47" s="3">
        <f t="shared" si="8"/>
        <v>52.25</v>
      </c>
      <c r="F47" s="3">
        <v>55</v>
      </c>
      <c r="G47" s="32">
        <v>169</v>
      </c>
    </row>
    <row r="48" spans="1:9">
      <c r="A48" s="32"/>
      <c r="B48" s="32"/>
      <c r="C48" s="32"/>
      <c r="D48" s="32"/>
      <c r="E48" s="32"/>
      <c r="F48" s="3"/>
      <c r="G48" s="32"/>
      <c r="H48" s="38">
        <v>25.6</v>
      </c>
      <c r="I48" s="36" t="s">
        <v>17</v>
      </c>
    </row>
    <row r="49" spans="8:8">
      <c r="H49" s="17"/>
    </row>
  </sheetData>
  <mergeCells count="1">
    <mergeCell ref="K2:O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1"/>
  <sheetViews>
    <sheetView tabSelected="1" topLeftCell="A164" workbookViewId="0">
      <selection activeCell="G181" sqref="G181"/>
    </sheetView>
  </sheetViews>
  <sheetFormatPr defaultColWidth="9" defaultRowHeight="15"/>
  <cols>
    <col min="1" max="1" width="7.71428571428571" style="1" customWidth="1"/>
    <col min="2" max="2" width="42.1428571428571" style="1" customWidth="1"/>
    <col min="3" max="3" width="7.42857142857143" style="1" customWidth="1"/>
    <col min="4" max="4" width="9.14285714285714" style="1"/>
    <col min="5" max="5" width="12" style="1" customWidth="1"/>
    <col min="6" max="6" width="19" style="1" customWidth="1"/>
    <col min="7" max="7" width="15.1428571428571" style="1" customWidth="1"/>
    <col min="8" max="8" width="12.1428571428571" style="1" customWidth="1"/>
    <col min="9" max="16384" width="9.14285714285714" style="1"/>
  </cols>
  <sheetData>
    <row r="1" s="1" customFormat="1" ht="15.75" customHeight="1" spans="1:13">
      <c r="A1" s="2" t="s">
        <v>0</v>
      </c>
      <c r="B1" s="2" t="s">
        <v>227</v>
      </c>
      <c r="C1" s="2" t="s">
        <v>228</v>
      </c>
      <c r="D1" s="2" t="s">
        <v>229</v>
      </c>
      <c r="E1" s="2" t="s">
        <v>4</v>
      </c>
      <c r="F1" s="2" t="s">
        <v>5</v>
      </c>
      <c r="G1" s="2" t="s">
        <v>6</v>
      </c>
    </row>
    <row r="2" s="1" customFormat="1" ht="15.75" spans="1:13">
      <c r="A2" s="3"/>
      <c r="B2" s="3" t="s">
        <v>230</v>
      </c>
      <c r="C2" s="3">
        <v>750</v>
      </c>
      <c r="D2" s="3">
        <v>16920</v>
      </c>
      <c r="E2" s="3">
        <f>(D2-(D2*5%))</f>
        <v>16074</v>
      </c>
      <c r="F2" s="3">
        <f>D2/25</f>
        <v>676.8</v>
      </c>
      <c r="G2" s="3">
        <f>F2*2.7</f>
        <v>1827.36</v>
      </c>
    </row>
    <row r="3" s="1" customFormat="1" spans="1:13">
      <c r="A3" s="3"/>
      <c r="B3" s="3" t="s">
        <v>231</v>
      </c>
      <c r="C3" s="3">
        <v>700</v>
      </c>
      <c r="D3" s="3">
        <v>15020</v>
      </c>
      <c r="E3" s="3">
        <f t="shared" ref="E3:E12" si="0">(D3-(D3*5%))</f>
        <v>14269</v>
      </c>
      <c r="F3" s="3">
        <f>D3/23</f>
        <v>653.04347826087</v>
      </c>
      <c r="G3" s="3">
        <f>F3*2.7</f>
        <v>1763.21739130435</v>
      </c>
      <c r="I3" s="4"/>
      <c r="J3" s="5"/>
      <c r="K3" s="5"/>
      <c r="L3" s="5"/>
      <c r="M3" s="6"/>
    </row>
    <row r="4" s="1" customFormat="1" spans="1:13">
      <c r="A4" s="3"/>
      <c r="B4" s="3" t="s">
        <v>232</v>
      </c>
      <c r="C4" s="3">
        <v>750</v>
      </c>
      <c r="D4" s="3">
        <v>8520</v>
      </c>
      <c r="E4" s="3">
        <f t="shared" si="0"/>
        <v>8094</v>
      </c>
      <c r="F4" s="3">
        <f t="shared" ref="F3:F12" si="1">D4/25</f>
        <v>340.8</v>
      </c>
      <c r="G4" s="3">
        <f>F4*2.7</f>
        <v>920.16</v>
      </c>
      <c r="I4" s="7"/>
      <c r="J4" s="8"/>
      <c r="K4" s="8"/>
      <c r="L4" s="8"/>
      <c r="M4" s="9"/>
    </row>
    <row r="5" s="1" customFormat="1" spans="1:13">
      <c r="A5" s="3"/>
      <c r="B5" s="3" t="s">
        <v>233</v>
      </c>
      <c r="C5" s="3">
        <v>750</v>
      </c>
      <c r="D5" s="3">
        <v>6720</v>
      </c>
      <c r="E5" s="3">
        <f t="shared" si="0"/>
        <v>6384</v>
      </c>
      <c r="F5" s="3">
        <f t="shared" si="1"/>
        <v>268.8</v>
      </c>
      <c r="G5" s="3">
        <f>F5*2.7</f>
        <v>725.76</v>
      </c>
      <c r="I5" s="7"/>
      <c r="J5" s="8"/>
      <c r="K5" s="8"/>
      <c r="L5" s="8"/>
      <c r="M5" s="9"/>
    </row>
    <row r="6" s="1" customFormat="1" spans="1:13">
      <c r="A6" s="3"/>
      <c r="B6" s="3" t="s">
        <v>234</v>
      </c>
      <c r="C6" s="3">
        <v>750</v>
      </c>
      <c r="D6" s="3">
        <v>6550</v>
      </c>
      <c r="E6" s="3">
        <f t="shared" si="0"/>
        <v>6222.5</v>
      </c>
      <c r="F6" s="3">
        <f t="shared" si="1"/>
        <v>262</v>
      </c>
      <c r="G6" s="3">
        <f>F6*2.7</f>
        <v>707.4</v>
      </c>
      <c r="I6" s="7"/>
      <c r="J6" s="8"/>
      <c r="K6" s="8"/>
      <c r="L6" s="8"/>
      <c r="M6" s="9"/>
    </row>
    <row r="7" s="1" customFormat="1" spans="1:13">
      <c r="A7" s="3"/>
      <c r="B7" s="3" t="s">
        <v>235</v>
      </c>
      <c r="C7" s="3">
        <v>750</v>
      </c>
      <c r="D7" s="3">
        <v>5020</v>
      </c>
      <c r="E7" s="3">
        <f t="shared" si="0"/>
        <v>4769</v>
      </c>
      <c r="F7" s="3">
        <f t="shared" si="1"/>
        <v>200.8</v>
      </c>
      <c r="G7" s="3">
        <f t="shared" ref="G3:G12" si="2">F7*3.9</f>
        <v>783.12</v>
      </c>
      <c r="I7" s="7"/>
      <c r="J7" s="8"/>
      <c r="K7" s="8"/>
      <c r="L7" s="8"/>
      <c r="M7" s="9"/>
    </row>
    <row r="8" s="1" customFormat="1" ht="15.75" spans="1:13">
      <c r="A8" s="3"/>
      <c r="B8" s="3" t="s">
        <v>236</v>
      </c>
      <c r="C8" s="3">
        <v>750</v>
      </c>
      <c r="D8" s="3">
        <v>4120</v>
      </c>
      <c r="E8" s="3">
        <f t="shared" si="0"/>
        <v>3914</v>
      </c>
      <c r="F8" s="3">
        <f t="shared" si="1"/>
        <v>164.8</v>
      </c>
      <c r="G8" s="3">
        <f t="shared" si="2"/>
        <v>642.72</v>
      </c>
      <c r="I8" s="10"/>
      <c r="J8" s="11"/>
      <c r="K8" s="11"/>
      <c r="L8" s="11"/>
      <c r="M8" s="12"/>
    </row>
    <row r="9" s="1" customFormat="1" ht="15.75" spans="1:13">
      <c r="A9" s="3"/>
      <c r="B9" s="3" t="s">
        <v>237</v>
      </c>
      <c r="C9" s="3">
        <v>750</v>
      </c>
      <c r="D9" s="3">
        <v>3300</v>
      </c>
      <c r="E9" s="3">
        <f t="shared" si="0"/>
        <v>3135</v>
      </c>
      <c r="F9" s="3">
        <f t="shared" si="1"/>
        <v>132</v>
      </c>
      <c r="G9" s="3">
        <f t="shared" si="2"/>
        <v>514.8</v>
      </c>
      <c r="I9" s="13"/>
      <c r="J9" s="13"/>
      <c r="K9" s="13"/>
      <c r="L9" s="13"/>
      <c r="M9" s="13"/>
    </row>
    <row r="10" s="1" customFormat="1" spans="1:13">
      <c r="A10" s="3"/>
      <c r="B10" s="3" t="s">
        <v>238</v>
      </c>
      <c r="C10" s="3">
        <v>750</v>
      </c>
      <c r="D10" s="3">
        <v>3290</v>
      </c>
      <c r="E10" s="3">
        <f t="shared" si="0"/>
        <v>3125.5</v>
      </c>
      <c r="F10" s="3">
        <f t="shared" si="1"/>
        <v>131.6</v>
      </c>
      <c r="G10" s="3">
        <f t="shared" si="2"/>
        <v>513.24</v>
      </c>
    </row>
    <row r="11" s="1" customFormat="1" spans="1:13">
      <c r="A11" s="3"/>
      <c r="B11" s="3" t="s">
        <v>239</v>
      </c>
      <c r="C11" s="3">
        <v>750</v>
      </c>
      <c r="D11" s="3">
        <v>3270</v>
      </c>
      <c r="E11" s="3">
        <f t="shared" si="0"/>
        <v>3106.5</v>
      </c>
      <c r="F11" s="3">
        <f t="shared" si="1"/>
        <v>130.8</v>
      </c>
      <c r="G11" s="3">
        <f t="shared" si="2"/>
        <v>510.12</v>
      </c>
    </row>
    <row r="12" s="1" customFormat="1" spans="1:13">
      <c r="A12" s="3"/>
      <c r="B12" s="3" t="s">
        <v>240</v>
      </c>
      <c r="C12" s="3">
        <v>700</v>
      </c>
      <c r="D12" s="3">
        <v>2520</v>
      </c>
      <c r="E12" s="3">
        <f t="shared" si="0"/>
        <v>2394</v>
      </c>
      <c r="F12" s="3">
        <f>D12/23</f>
        <v>109.565217391304</v>
      </c>
      <c r="G12" s="3">
        <f t="shared" si="2"/>
        <v>427.304347826087</v>
      </c>
    </row>
    <row r="13" s="1" customFormat="1" spans="1:13">
      <c r="A13" s="3"/>
      <c r="B13" s="3"/>
      <c r="C13" s="3"/>
      <c r="D13" s="3"/>
      <c r="E13" s="3"/>
      <c r="F13" s="3"/>
      <c r="G13" s="3"/>
    </row>
    <row r="14" s="1" customFormat="1" spans="1:13">
      <c r="A14" s="3"/>
      <c r="B14" s="3"/>
      <c r="C14" s="3"/>
      <c r="D14" s="3"/>
      <c r="E14" s="3"/>
      <c r="F14" s="3"/>
      <c r="G14" s="3"/>
    </row>
    <row r="15" s="1" customFormat="1" ht="15.75" spans="1:13">
      <c r="A15" s="2" t="s">
        <v>0</v>
      </c>
      <c r="B15" s="2" t="s">
        <v>241</v>
      </c>
      <c r="C15" s="2" t="s">
        <v>228</v>
      </c>
      <c r="D15" s="2" t="s">
        <v>229</v>
      </c>
      <c r="E15" s="2" t="s">
        <v>4</v>
      </c>
      <c r="F15" s="2" t="s">
        <v>5</v>
      </c>
      <c r="G15" s="2" t="s">
        <v>6</v>
      </c>
    </row>
    <row r="16" s="1" customFormat="1" spans="1:13">
      <c r="A16" s="3"/>
      <c r="B16" s="3" t="s">
        <v>242</v>
      </c>
      <c r="C16" s="3">
        <v>700</v>
      </c>
      <c r="D16" s="3">
        <v>4460</v>
      </c>
      <c r="E16" s="3">
        <f t="shared" ref="E16:E21" si="3">(D16-(D16*5%))</f>
        <v>4237</v>
      </c>
      <c r="F16" s="3">
        <f t="shared" ref="F16:F24" si="4">D16/23</f>
        <v>193.913043478261</v>
      </c>
      <c r="G16" s="3"/>
    </row>
    <row r="17" s="1" customFormat="1" spans="1:10">
      <c r="A17" s="3"/>
      <c r="B17" s="3" t="s">
        <v>19</v>
      </c>
      <c r="C17" s="3">
        <v>700</v>
      </c>
      <c r="D17" s="3">
        <v>3810</v>
      </c>
      <c r="E17" s="3">
        <f t="shared" si="3"/>
        <v>3619.5</v>
      </c>
      <c r="F17" s="3">
        <f t="shared" si="4"/>
        <v>165.652173913043</v>
      </c>
      <c r="G17" s="3"/>
    </row>
    <row r="18" s="1" customFormat="1" spans="1:10">
      <c r="A18" s="3"/>
      <c r="B18" s="3"/>
      <c r="C18" s="3"/>
      <c r="D18" s="3"/>
      <c r="E18" s="3"/>
      <c r="F18" s="3"/>
      <c r="G18" s="3"/>
    </row>
    <row r="19" s="1" customFormat="1" spans="1:10">
      <c r="A19" s="3"/>
      <c r="B19" s="3"/>
      <c r="C19" s="3"/>
      <c r="D19" s="3"/>
      <c r="E19" s="3"/>
      <c r="F19" s="3"/>
      <c r="G19" s="3"/>
      <c r="H19" s="14"/>
      <c r="I19" s="15"/>
    </row>
    <row r="20" s="1" customFormat="1" ht="15.75" spans="1:10">
      <c r="A20" s="2" t="s">
        <v>0</v>
      </c>
      <c r="B20" s="2" t="s">
        <v>243</v>
      </c>
      <c r="C20" s="2" t="s">
        <v>228</v>
      </c>
      <c r="D20" s="2" t="s">
        <v>229</v>
      </c>
      <c r="E20" s="2" t="s">
        <v>4</v>
      </c>
      <c r="F20" s="2" t="s">
        <v>5</v>
      </c>
      <c r="G20" s="2" t="s">
        <v>6</v>
      </c>
    </row>
    <row r="21" s="1" customFormat="1" spans="1:10">
      <c r="A21" s="3"/>
      <c r="B21" s="16" t="s">
        <v>25</v>
      </c>
      <c r="C21" s="3">
        <v>700</v>
      </c>
      <c r="D21" s="3">
        <v>9910</v>
      </c>
      <c r="E21" s="3">
        <f t="shared" si="3"/>
        <v>9414.5</v>
      </c>
      <c r="F21" s="3">
        <f t="shared" si="4"/>
        <v>430.869565217391</v>
      </c>
      <c r="G21" s="3"/>
    </row>
    <row r="22" s="1" customFormat="1" spans="1:10">
      <c r="A22" s="3"/>
      <c r="B22" s="3" t="s">
        <v>244</v>
      </c>
      <c r="C22" s="3">
        <v>700</v>
      </c>
      <c r="D22" s="3">
        <v>8160</v>
      </c>
      <c r="E22" s="3">
        <f t="shared" ref="E22:E30" si="5">(D22-(D22*5%))</f>
        <v>7752</v>
      </c>
      <c r="F22" s="3">
        <f t="shared" si="4"/>
        <v>354.782608695652</v>
      </c>
      <c r="G22" s="3"/>
      <c r="I22" s="16"/>
    </row>
    <row r="23" s="1" customFormat="1" spans="1:10">
      <c r="A23" s="3"/>
      <c r="B23" s="3" t="s">
        <v>245</v>
      </c>
      <c r="C23" s="3">
        <v>700</v>
      </c>
      <c r="D23" s="3">
        <v>6710</v>
      </c>
      <c r="E23" s="3">
        <f t="shared" si="5"/>
        <v>6374.5</v>
      </c>
      <c r="F23" s="3">
        <f t="shared" si="4"/>
        <v>291.739130434783</v>
      </c>
      <c r="G23" s="3"/>
    </row>
    <row r="24" s="1" customFormat="1" spans="1:10">
      <c r="A24" s="3"/>
      <c r="B24" s="3" t="s">
        <v>246</v>
      </c>
      <c r="C24" s="3">
        <v>700</v>
      </c>
      <c r="D24" s="3">
        <v>6400</v>
      </c>
      <c r="E24" s="3">
        <f t="shared" si="5"/>
        <v>6080</v>
      </c>
      <c r="F24" s="3">
        <f t="shared" si="4"/>
        <v>278.260869565217</v>
      </c>
      <c r="G24" s="3"/>
    </row>
    <row r="25" s="1" customFormat="1" spans="1:10">
      <c r="A25" s="3"/>
      <c r="B25" s="3" t="s">
        <v>27</v>
      </c>
      <c r="C25" s="3">
        <v>750</v>
      </c>
      <c r="D25" s="3">
        <v>5020</v>
      </c>
      <c r="E25" s="3">
        <f t="shared" si="5"/>
        <v>4769</v>
      </c>
      <c r="F25" s="3">
        <f>D25/25</f>
        <v>200.8</v>
      </c>
      <c r="G25" s="3"/>
    </row>
    <row r="26" s="1" customFormat="1" spans="1:10">
      <c r="A26" s="3"/>
      <c r="B26" s="3" t="s">
        <v>247</v>
      </c>
      <c r="C26" s="3">
        <v>700</v>
      </c>
      <c r="D26" s="3">
        <v>4360</v>
      </c>
      <c r="E26" s="3">
        <f t="shared" si="5"/>
        <v>4142</v>
      </c>
      <c r="F26" s="3">
        <f>D26/23</f>
        <v>189.565217391304</v>
      </c>
      <c r="G26" s="3"/>
    </row>
    <row r="27" s="1" customFormat="1" spans="1:10">
      <c r="A27" s="3"/>
      <c r="B27" s="3" t="s">
        <v>24</v>
      </c>
      <c r="C27" s="3">
        <v>700</v>
      </c>
      <c r="D27" s="3">
        <v>4250</v>
      </c>
      <c r="E27" s="3">
        <f t="shared" si="5"/>
        <v>4037.5</v>
      </c>
      <c r="F27" s="3">
        <f>D27/23</f>
        <v>184.782608695652</v>
      </c>
      <c r="G27" s="3"/>
    </row>
    <row r="28" s="1" customFormat="1" spans="1:10">
      <c r="A28" s="3"/>
      <c r="B28" s="3" t="s">
        <v>248</v>
      </c>
      <c r="C28" s="3">
        <v>750</v>
      </c>
      <c r="D28" s="3">
        <v>4850</v>
      </c>
      <c r="E28" s="3">
        <f t="shared" si="5"/>
        <v>4607.5</v>
      </c>
      <c r="F28" s="3">
        <f>D28/25</f>
        <v>194</v>
      </c>
      <c r="G28" s="3"/>
      <c r="J28" s="16"/>
    </row>
    <row r="29" s="1" customFormat="1" spans="1:10">
      <c r="A29" s="3"/>
      <c r="B29" s="3" t="s">
        <v>249</v>
      </c>
      <c r="C29" s="3">
        <v>750</v>
      </c>
      <c r="D29" s="3">
        <v>4770</v>
      </c>
      <c r="E29" s="3">
        <f t="shared" si="5"/>
        <v>4531.5</v>
      </c>
      <c r="F29" s="3">
        <f>D29/25</f>
        <v>190.8</v>
      </c>
      <c r="G29" s="3"/>
    </row>
    <row r="30" s="1" customFormat="1" spans="1:10">
      <c r="A30" s="3"/>
      <c r="B30" s="3" t="s">
        <v>250</v>
      </c>
      <c r="C30" s="3">
        <v>750</v>
      </c>
      <c r="D30" s="3">
        <v>4670</v>
      </c>
      <c r="E30" s="3">
        <f t="shared" si="5"/>
        <v>4436.5</v>
      </c>
      <c r="F30" s="3">
        <f>D30/25</f>
        <v>186.8</v>
      </c>
      <c r="G30" s="3"/>
    </row>
    <row r="31" s="1" customFormat="1" spans="1:10">
      <c r="A31" s="3"/>
      <c r="B31" s="3"/>
      <c r="C31" s="3"/>
      <c r="D31" s="3"/>
      <c r="E31" s="3"/>
      <c r="F31" s="3"/>
      <c r="G31" s="3"/>
    </row>
    <row r="32" s="1" customFormat="1" spans="1:10">
      <c r="A32" s="3"/>
      <c r="B32" s="3"/>
      <c r="C32" s="3"/>
      <c r="D32" s="3"/>
      <c r="E32" s="3"/>
      <c r="F32" s="3"/>
      <c r="G32" s="3"/>
    </row>
    <row r="33" s="1" customFormat="1" spans="1:10">
      <c r="A33" s="3"/>
      <c r="B33" s="3"/>
      <c r="C33" s="3"/>
      <c r="D33" s="3"/>
      <c r="E33" s="3"/>
      <c r="F33" s="3"/>
      <c r="G33" s="3"/>
      <c r="H33" s="14"/>
      <c r="I33" s="15"/>
      <c r="J33" s="17"/>
    </row>
    <row r="34" s="1" customFormat="1" ht="15.75" spans="1:10">
      <c r="A34" s="2" t="s">
        <v>0</v>
      </c>
      <c r="B34" s="2" t="s">
        <v>251</v>
      </c>
      <c r="C34" s="2" t="s">
        <v>228</v>
      </c>
      <c r="D34" s="2" t="s">
        <v>229</v>
      </c>
      <c r="E34" s="2" t="s">
        <v>4</v>
      </c>
      <c r="F34" s="2" t="s">
        <v>5</v>
      </c>
      <c r="G34" s="2" t="s">
        <v>6</v>
      </c>
    </row>
    <row r="35" s="1" customFormat="1" spans="1:10">
      <c r="A35" s="3"/>
      <c r="B35" s="3" t="s">
        <v>252</v>
      </c>
      <c r="C35" s="3">
        <v>750</v>
      </c>
      <c r="D35" s="3">
        <v>6087</v>
      </c>
      <c r="E35" s="3">
        <f>(D35-(D35*5%))</f>
        <v>5782.65</v>
      </c>
      <c r="F35" s="3">
        <f>D35/25</f>
        <v>243.48</v>
      </c>
      <c r="G35" s="3"/>
    </row>
    <row r="36" s="1" customFormat="1" spans="1:10">
      <c r="A36" s="3"/>
      <c r="B36" s="3" t="s">
        <v>253</v>
      </c>
      <c r="C36" s="3">
        <v>700</v>
      </c>
      <c r="D36" s="3">
        <v>4020</v>
      </c>
      <c r="E36" s="3">
        <f>(D36-(D36*5%))</f>
        <v>3819</v>
      </c>
      <c r="F36" s="3">
        <f>D36/23</f>
        <v>174.782608695652</v>
      </c>
      <c r="G36" s="3"/>
      <c r="J36" s="16"/>
    </row>
    <row r="37" s="1" customFormat="1" spans="1:10">
      <c r="A37" s="3"/>
      <c r="B37" s="3" t="s">
        <v>254</v>
      </c>
      <c r="C37" s="3">
        <v>700</v>
      </c>
      <c r="D37" s="3">
        <v>4020</v>
      </c>
      <c r="E37" s="3">
        <f>(D37-(D37*5%))</f>
        <v>3819</v>
      </c>
      <c r="F37" s="3">
        <f>D37/23</f>
        <v>174.782608695652</v>
      </c>
      <c r="G37" s="3"/>
    </row>
    <row r="38" s="1" customFormat="1" spans="1:10">
      <c r="A38" s="3"/>
      <c r="B38" s="3" t="s">
        <v>255</v>
      </c>
      <c r="C38" s="3">
        <v>750</v>
      </c>
      <c r="D38" s="3">
        <v>3970</v>
      </c>
      <c r="E38" s="3">
        <f t="shared" ref="E38:E45" si="6">(D38-(D38*5%))</f>
        <v>3771.5</v>
      </c>
      <c r="F38" s="3">
        <f t="shared" ref="F38:F45" si="7">D38/25</f>
        <v>158.8</v>
      </c>
      <c r="G38" s="3"/>
    </row>
    <row r="39" s="1" customFormat="1" spans="1:10">
      <c r="A39" s="3"/>
      <c r="B39" s="3" t="s">
        <v>256</v>
      </c>
      <c r="C39" s="3">
        <v>750</v>
      </c>
      <c r="D39" s="3">
        <v>3090</v>
      </c>
      <c r="E39" s="3">
        <f t="shared" si="6"/>
        <v>2935.5</v>
      </c>
      <c r="F39" s="3">
        <f t="shared" si="7"/>
        <v>123.6</v>
      </c>
      <c r="G39" s="3"/>
    </row>
    <row r="40" s="1" customFormat="1" spans="1:10">
      <c r="A40" s="3"/>
      <c r="B40" s="3"/>
      <c r="C40" s="3"/>
      <c r="D40" s="3"/>
      <c r="E40" s="3"/>
      <c r="F40" s="3"/>
      <c r="G40" s="3"/>
    </row>
    <row r="41" s="1" customFormat="1" spans="1:10">
      <c r="A41" s="3"/>
      <c r="B41" s="3"/>
      <c r="C41" s="3"/>
      <c r="D41" s="3"/>
      <c r="E41" s="3"/>
      <c r="F41" s="3"/>
      <c r="G41" s="3"/>
    </row>
    <row r="42" s="1" customFormat="1" ht="15.75" spans="1:10">
      <c r="A42" s="2" t="s">
        <v>0</v>
      </c>
      <c r="B42" s="2" t="s">
        <v>257</v>
      </c>
      <c r="C42" s="2" t="s">
        <v>228</v>
      </c>
      <c r="D42" s="2" t="s">
        <v>229</v>
      </c>
      <c r="E42" s="2" t="s">
        <v>4</v>
      </c>
      <c r="F42" s="2" t="s">
        <v>5</v>
      </c>
      <c r="G42" s="2" t="s">
        <v>6</v>
      </c>
    </row>
    <row r="43" s="1" customFormat="1" spans="1:10">
      <c r="A43" s="3"/>
      <c r="B43" s="3" t="s">
        <v>258</v>
      </c>
      <c r="C43" s="3">
        <v>750</v>
      </c>
      <c r="D43" s="3">
        <v>3750</v>
      </c>
      <c r="E43" s="3">
        <f t="shared" si="6"/>
        <v>3562.5</v>
      </c>
      <c r="F43" s="3">
        <f t="shared" si="7"/>
        <v>150</v>
      </c>
      <c r="G43" s="3"/>
    </row>
    <row r="44" s="1" customFormat="1" spans="1:10">
      <c r="A44" s="3"/>
      <c r="B44" s="3" t="s">
        <v>259</v>
      </c>
      <c r="C44" s="3">
        <v>750</v>
      </c>
      <c r="D44" s="3">
        <v>3640</v>
      </c>
      <c r="E44" s="3">
        <f t="shared" si="6"/>
        <v>3458</v>
      </c>
      <c r="F44" s="3">
        <f t="shared" si="7"/>
        <v>145.6</v>
      </c>
      <c r="G44" s="3"/>
    </row>
    <row r="45" s="1" customFormat="1" spans="1:10">
      <c r="A45" s="3"/>
      <c r="B45" s="3" t="s">
        <v>260</v>
      </c>
      <c r="C45" s="3">
        <v>750</v>
      </c>
      <c r="D45" s="3">
        <v>2980</v>
      </c>
      <c r="E45" s="3">
        <f t="shared" si="6"/>
        <v>2831</v>
      </c>
      <c r="F45" s="3">
        <f t="shared" si="7"/>
        <v>119.2</v>
      </c>
      <c r="G45" s="3"/>
    </row>
    <row r="46" s="1" customFormat="1" spans="1:10">
      <c r="A46" s="3"/>
      <c r="B46" s="3" t="s">
        <v>261</v>
      </c>
      <c r="C46" s="3">
        <v>750</v>
      </c>
      <c r="D46" s="3">
        <v>2750</v>
      </c>
      <c r="E46" s="3">
        <f t="shared" ref="E46:E55" si="8">(D46-(D46*5%))</f>
        <v>2612.5</v>
      </c>
      <c r="F46" s="3">
        <f t="shared" ref="F46:F53" si="9">D46/25</f>
        <v>110</v>
      </c>
      <c r="G46" s="3"/>
    </row>
    <row r="47" s="1" customFormat="1" spans="1:10">
      <c r="A47" s="3"/>
      <c r="B47" s="3" t="s">
        <v>262</v>
      </c>
      <c r="C47" s="3">
        <v>750</v>
      </c>
      <c r="D47" s="3">
        <v>3030</v>
      </c>
      <c r="E47" s="3">
        <f t="shared" si="8"/>
        <v>2878.5</v>
      </c>
      <c r="F47" s="3">
        <f t="shared" si="9"/>
        <v>121.2</v>
      </c>
      <c r="G47" s="3"/>
    </row>
    <row r="48" s="1" customFormat="1" spans="1:10">
      <c r="A48" s="3"/>
      <c r="B48" s="3"/>
      <c r="C48" s="3"/>
      <c r="D48" s="3"/>
      <c r="E48" s="3"/>
      <c r="F48" s="3"/>
      <c r="G48" s="3"/>
    </row>
    <row r="49" s="1" customFormat="1" spans="1:10">
      <c r="A49" s="3"/>
      <c r="B49" s="3"/>
      <c r="C49" s="3"/>
      <c r="D49" s="3"/>
      <c r="E49" s="3"/>
      <c r="F49" s="3"/>
      <c r="G49" s="3"/>
    </row>
    <row r="50" s="1" customFormat="1" ht="15.75" spans="1:10">
      <c r="A50" s="2" t="s">
        <v>0</v>
      </c>
      <c r="B50" s="2" t="s">
        <v>263</v>
      </c>
      <c r="C50" s="2" t="s">
        <v>228</v>
      </c>
      <c r="D50" s="2" t="s">
        <v>229</v>
      </c>
      <c r="E50" s="2" t="s">
        <v>4</v>
      </c>
      <c r="F50" s="2" t="s">
        <v>5</v>
      </c>
      <c r="G50" s="2" t="s">
        <v>6</v>
      </c>
    </row>
    <row r="51" s="1" customFormat="1" spans="1:10">
      <c r="A51" s="3"/>
      <c r="B51" s="3" t="s">
        <v>264</v>
      </c>
      <c r="C51" s="3">
        <v>700</v>
      </c>
      <c r="D51" s="3">
        <v>3390</v>
      </c>
      <c r="E51" s="3">
        <f t="shared" si="8"/>
        <v>3220.5</v>
      </c>
      <c r="F51" s="3">
        <f t="shared" si="9"/>
        <v>135.6</v>
      </c>
      <c r="G51" s="3"/>
    </row>
    <row r="52" s="1" customFormat="1" spans="1:10">
      <c r="A52" s="3"/>
      <c r="B52" s="3" t="s">
        <v>265</v>
      </c>
      <c r="C52" s="3">
        <v>750</v>
      </c>
      <c r="D52" s="3">
        <v>3210</v>
      </c>
      <c r="E52" s="3">
        <f t="shared" si="8"/>
        <v>3049.5</v>
      </c>
      <c r="F52" s="3">
        <f t="shared" si="9"/>
        <v>128.4</v>
      </c>
      <c r="G52" s="3"/>
    </row>
    <row r="53" s="1" customFormat="1" spans="1:10">
      <c r="A53" s="3"/>
      <c r="B53" s="3" t="s">
        <v>266</v>
      </c>
      <c r="C53" s="3">
        <v>750</v>
      </c>
      <c r="D53" s="3">
        <v>2730</v>
      </c>
      <c r="E53" s="3">
        <f t="shared" si="8"/>
        <v>2593.5</v>
      </c>
      <c r="F53" s="3">
        <f t="shared" si="9"/>
        <v>109.2</v>
      </c>
      <c r="G53" s="3"/>
    </row>
    <row r="54" s="1" customFormat="1" spans="1:10">
      <c r="A54" s="3"/>
      <c r="B54" s="3" t="s">
        <v>267</v>
      </c>
      <c r="C54" s="3">
        <v>700</v>
      </c>
      <c r="D54" s="3">
        <v>2610</v>
      </c>
      <c r="E54" s="3">
        <f t="shared" si="8"/>
        <v>2479.5</v>
      </c>
      <c r="F54" s="3">
        <f>D54/23</f>
        <v>113.478260869565</v>
      </c>
      <c r="G54" s="3"/>
      <c r="H54" s="14"/>
      <c r="I54" s="15"/>
      <c r="J54" s="17"/>
    </row>
    <row r="55" s="1" customFormat="1" spans="1:10">
      <c r="A55" s="3"/>
      <c r="B55" s="3" t="s">
        <v>268</v>
      </c>
      <c r="C55" s="3">
        <v>750</v>
      </c>
      <c r="D55" s="3">
        <v>2230</v>
      </c>
      <c r="E55" s="3">
        <f t="shared" si="8"/>
        <v>2118.5</v>
      </c>
      <c r="F55" s="3">
        <f>D55/25</f>
        <v>89.2</v>
      </c>
      <c r="G55" s="3"/>
    </row>
    <row r="56" s="1" customFormat="1" spans="1:10">
      <c r="A56" s="3"/>
      <c r="B56" s="3"/>
      <c r="C56" s="3"/>
      <c r="D56" s="3"/>
      <c r="E56" s="3"/>
      <c r="F56" s="3"/>
      <c r="G56" s="3"/>
    </row>
    <row r="57" s="1" customFormat="1" spans="1:10">
      <c r="A57" s="3"/>
      <c r="B57" s="3"/>
      <c r="C57" s="3"/>
      <c r="D57" s="3"/>
      <c r="E57" s="3"/>
      <c r="F57" s="3"/>
      <c r="G57" s="3"/>
    </row>
    <row r="58" s="1" customFormat="1" spans="1:10">
      <c r="A58" s="3"/>
      <c r="B58" s="3"/>
      <c r="C58" s="3"/>
      <c r="D58" s="3"/>
      <c r="E58" s="3"/>
      <c r="F58" s="3"/>
      <c r="G58" s="3"/>
    </row>
    <row r="59" s="1" customFormat="1" ht="15.75" spans="1:10">
      <c r="A59" s="2" t="s">
        <v>0</v>
      </c>
      <c r="B59" s="2" t="s">
        <v>269</v>
      </c>
      <c r="C59" s="2" t="s">
        <v>228</v>
      </c>
      <c r="D59" s="2" t="s">
        <v>229</v>
      </c>
      <c r="E59" s="2" t="s">
        <v>4</v>
      </c>
      <c r="F59" s="2" t="s">
        <v>5</v>
      </c>
      <c r="G59" s="2" t="s">
        <v>6</v>
      </c>
    </row>
    <row r="60" s="1" customFormat="1" spans="1:10">
      <c r="A60" s="3"/>
      <c r="B60" s="3" t="s">
        <v>76</v>
      </c>
      <c r="C60" s="3">
        <v>700</v>
      </c>
      <c r="D60" s="3">
        <v>11940</v>
      </c>
      <c r="E60" s="3">
        <f>(D60-(D60*5%))</f>
        <v>11343</v>
      </c>
      <c r="F60" s="3">
        <f>D60/23</f>
        <v>519.130434782609</v>
      </c>
      <c r="G60" s="3"/>
    </row>
    <row r="61" s="1" customFormat="1" spans="1:10">
      <c r="A61" s="3"/>
      <c r="B61" s="3" t="s">
        <v>270</v>
      </c>
      <c r="C61" s="3">
        <v>700</v>
      </c>
      <c r="D61" s="3">
        <v>6230</v>
      </c>
      <c r="E61" s="3">
        <f t="shared" ref="E61:E66" si="10">(D61-(D61*5%))</f>
        <v>5918.5</v>
      </c>
      <c r="F61" s="3">
        <f t="shared" ref="F61:F68" si="11">D61/23</f>
        <v>270.869565217391</v>
      </c>
      <c r="G61" s="3"/>
    </row>
    <row r="62" s="1" customFormat="1" spans="1:10">
      <c r="A62" s="3"/>
      <c r="B62" s="3" t="s">
        <v>271</v>
      </c>
      <c r="C62" s="3">
        <v>700</v>
      </c>
      <c r="D62" s="3">
        <v>3650</v>
      </c>
      <c r="E62" s="3">
        <f t="shared" si="10"/>
        <v>3467.5</v>
      </c>
      <c r="F62" s="3">
        <f t="shared" si="11"/>
        <v>158.695652173913</v>
      </c>
      <c r="G62" s="3"/>
      <c r="H62" s="3"/>
    </row>
    <row r="63" s="1" customFormat="1" spans="1:10">
      <c r="A63" s="3"/>
      <c r="B63" s="3"/>
      <c r="C63" s="3"/>
      <c r="D63" s="3"/>
      <c r="E63" s="3"/>
      <c r="F63" s="3"/>
      <c r="G63" s="3"/>
    </row>
    <row r="64" s="1" customFormat="1" spans="1:10">
      <c r="A64" s="3"/>
      <c r="B64" s="3"/>
      <c r="C64" s="3"/>
      <c r="D64" s="3"/>
      <c r="E64" s="3"/>
      <c r="F64" s="3"/>
      <c r="G64" s="3"/>
    </row>
    <row r="65" s="1" customFormat="1" ht="15.75" spans="1:11">
      <c r="A65" s="2" t="s">
        <v>0</v>
      </c>
      <c r="B65" s="2" t="s">
        <v>77</v>
      </c>
      <c r="C65" s="2" t="s">
        <v>228</v>
      </c>
      <c r="D65" s="2" t="s">
        <v>229</v>
      </c>
      <c r="E65" s="2" t="s">
        <v>4</v>
      </c>
      <c r="F65" s="2" t="s">
        <v>5</v>
      </c>
      <c r="G65" s="2" t="s">
        <v>6</v>
      </c>
    </row>
    <row r="66" s="1" customFormat="1" spans="1:11">
      <c r="A66" s="3"/>
      <c r="B66" s="3" t="s">
        <v>272</v>
      </c>
      <c r="C66" s="3">
        <v>700</v>
      </c>
      <c r="D66" s="3">
        <v>6470</v>
      </c>
      <c r="E66" s="3">
        <f t="shared" si="10"/>
        <v>6146.5</v>
      </c>
      <c r="F66" s="3">
        <f t="shared" si="11"/>
        <v>281.304347826087</v>
      </c>
      <c r="G66" s="3"/>
      <c r="I66" s="18"/>
    </row>
    <row r="67" s="1" customFormat="1" spans="1:11">
      <c r="A67" s="3"/>
      <c r="B67" s="3" t="s">
        <v>273</v>
      </c>
      <c r="C67" s="3">
        <v>700</v>
      </c>
      <c r="D67" s="3">
        <v>4020</v>
      </c>
      <c r="E67" s="3">
        <f t="shared" ref="E67:E72" si="12">(D67-(D67*5%))</f>
        <v>3819</v>
      </c>
      <c r="F67" s="3">
        <f t="shared" si="11"/>
        <v>174.782608695652</v>
      </c>
      <c r="G67" s="3"/>
    </row>
    <row r="68" s="1" customFormat="1" spans="1:11">
      <c r="A68" s="3"/>
      <c r="B68" s="3" t="s">
        <v>274</v>
      </c>
      <c r="C68" s="3">
        <v>700</v>
      </c>
      <c r="D68" s="3">
        <v>2510</v>
      </c>
      <c r="E68" s="3">
        <f t="shared" si="12"/>
        <v>2384.5</v>
      </c>
      <c r="F68" s="3">
        <f t="shared" si="11"/>
        <v>109.130434782609</v>
      </c>
      <c r="G68" s="3"/>
      <c r="K68" s="1" t="s">
        <v>81</v>
      </c>
    </row>
    <row r="69" s="1" customFormat="1" spans="1:11">
      <c r="A69" s="3"/>
      <c r="B69" s="18"/>
      <c r="C69" s="3"/>
      <c r="D69" s="3"/>
      <c r="E69" s="3"/>
      <c r="F69" s="3"/>
      <c r="G69" s="3"/>
      <c r="H69" s="14"/>
      <c r="I69" s="3"/>
      <c r="J69" s="17"/>
    </row>
    <row r="70" s="1" customFormat="1" spans="1:11">
      <c r="A70" s="3"/>
      <c r="B70" s="3"/>
      <c r="C70" s="3"/>
      <c r="D70" s="3"/>
      <c r="E70" s="3"/>
      <c r="F70" s="3"/>
      <c r="G70" s="3"/>
    </row>
    <row r="71" s="1" customFormat="1" ht="15.75" spans="1:11">
      <c r="A71" s="2" t="s">
        <v>0</v>
      </c>
      <c r="B71" s="2" t="s">
        <v>275</v>
      </c>
      <c r="C71" s="2" t="s">
        <v>228</v>
      </c>
      <c r="D71" s="2" t="s">
        <v>229</v>
      </c>
      <c r="E71" s="2" t="s">
        <v>4</v>
      </c>
      <c r="F71" s="2" t="s">
        <v>5</v>
      </c>
      <c r="G71" s="2" t="s">
        <v>6</v>
      </c>
    </row>
    <row r="72" s="1" customFormat="1" spans="1:11">
      <c r="A72" s="3"/>
      <c r="B72" s="3" t="s">
        <v>276</v>
      </c>
      <c r="C72" s="3">
        <v>1000</v>
      </c>
      <c r="D72" s="3">
        <v>4630</v>
      </c>
      <c r="E72" s="3">
        <f t="shared" si="12"/>
        <v>4398.5</v>
      </c>
      <c r="F72" s="3">
        <f>D72/33</f>
        <v>140.30303030303</v>
      </c>
      <c r="G72" s="3"/>
    </row>
    <row r="73" s="1" customFormat="1" spans="1:11">
      <c r="A73" s="3"/>
      <c r="B73" s="3" t="s">
        <v>277</v>
      </c>
      <c r="C73" s="3">
        <v>700</v>
      </c>
      <c r="D73" s="3">
        <v>4320</v>
      </c>
      <c r="E73" s="3">
        <f t="shared" ref="E73:E81" si="13">(D73-(D73*5%))</f>
        <v>4104</v>
      </c>
      <c r="F73" s="3">
        <f>D73/23</f>
        <v>187.826086956522</v>
      </c>
      <c r="G73" s="3"/>
    </row>
    <row r="74" s="1" customFormat="1" spans="1:11">
      <c r="A74" s="3"/>
      <c r="B74" s="3" t="s">
        <v>96</v>
      </c>
      <c r="C74" s="3">
        <v>500</v>
      </c>
      <c r="D74" s="3">
        <v>4220</v>
      </c>
      <c r="E74" s="3">
        <f t="shared" si="13"/>
        <v>4009</v>
      </c>
      <c r="F74" s="3">
        <f>D74/17</f>
        <v>248.235294117647</v>
      </c>
      <c r="G74" s="3"/>
    </row>
    <row r="75" s="1" customFormat="1" spans="1:11">
      <c r="A75" s="3"/>
      <c r="B75" s="3" t="s">
        <v>278</v>
      </c>
      <c r="C75" s="3">
        <v>700</v>
      </c>
      <c r="D75" s="3">
        <v>4150</v>
      </c>
      <c r="E75" s="3">
        <f t="shared" si="13"/>
        <v>3942.5</v>
      </c>
      <c r="F75" s="3">
        <f>D75/23</f>
        <v>180.434782608696</v>
      </c>
      <c r="G75" s="3"/>
    </row>
    <row r="76" s="1" customFormat="1" spans="1:11">
      <c r="A76" s="3"/>
      <c r="B76" s="3" t="s">
        <v>279</v>
      </c>
      <c r="C76" s="3">
        <v>750</v>
      </c>
      <c r="D76" s="3">
        <v>4020</v>
      </c>
      <c r="E76" s="3">
        <f t="shared" si="13"/>
        <v>3819</v>
      </c>
      <c r="F76" s="3">
        <f>D76/25</f>
        <v>160.8</v>
      </c>
      <c r="G76" s="3"/>
    </row>
    <row r="77" s="1" customFormat="1" spans="1:11">
      <c r="A77" s="3"/>
      <c r="B77" s="3" t="s">
        <v>280</v>
      </c>
      <c r="C77" s="3">
        <v>700</v>
      </c>
      <c r="D77" s="3">
        <v>3960</v>
      </c>
      <c r="E77" s="3">
        <f t="shared" si="13"/>
        <v>3762</v>
      </c>
      <c r="F77" s="3">
        <f>D77/23</f>
        <v>172.173913043478</v>
      </c>
      <c r="G77" s="3"/>
    </row>
    <row r="78" s="1" customFormat="1" spans="1:11">
      <c r="A78" s="3"/>
      <c r="B78" s="3" t="s">
        <v>281</v>
      </c>
      <c r="C78" s="3">
        <v>750</v>
      </c>
      <c r="D78" s="3">
        <v>3520</v>
      </c>
      <c r="E78" s="3">
        <f t="shared" si="13"/>
        <v>3344</v>
      </c>
      <c r="F78" s="3">
        <f>D78/25</f>
        <v>140.8</v>
      </c>
      <c r="G78" s="3"/>
    </row>
    <row r="79" s="1" customFormat="1" spans="1:11">
      <c r="A79" s="3"/>
      <c r="B79" s="3" t="s">
        <v>282</v>
      </c>
      <c r="C79" s="3">
        <v>750</v>
      </c>
      <c r="D79" s="3">
        <v>2460</v>
      </c>
      <c r="E79" s="3">
        <f t="shared" si="13"/>
        <v>2337</v>
      </c>
      <c r="F79" s="3">
        <f>D79/25</f>
        <v>98.4</v>
      </c>
      <c r="G79" s="3"/>
      <c r="J79" s="18"/>
    </row>
    <row r="80" s="1" customFormat="1" spans="1:11">
      <c r="A80" s="3"/>
      <c r="B80" s="3" t="s">
        <v>283</v>
      </c>
      <c r="C80" s="3">
        <v>750</v>
      </c>
      <c r="D80" s="3">
        <v>2490</v>
      </c>
      <c r="E80" s="3">
        <f t="shared" si="13"/>
        <v>2365.5</v>
      </c>
      <c r="F80" s="3">
        <f>D80/25</f>
        <v>99.6</v>
      </c>
      <c r="G80" s="3"/>
    </row>
    <row r="81" s="1" customFormat="1" spans="1:10">
      <c r="A81" s="3"/>
      <c r="B81" s="3" t="s">
        <v>284</v>
      </c>
      <c r="C81" s="3">
        <v>750</v>
      </c>
      <c r="D81" s="3">
        <v>2150</v>
      </c>
      <c r="E81" s="3">
        <f t="shared" si="13"/>
        <v>2042.5</v>
      </c>
      <c r="F81" s="3">
        <f>D81/25</f>
        <v>86</v>
      </c>
      <c r="G81" s="3"/>
    </row>
    <row r="82" s="1" customFormat="1" spans="1:10">
      <c r="A82" s="3"/>
      <c r="B82" s="3"/>
      <c r="C82" s="3"/>
      <c r="D82" s="3"/>
      <c r="E82" s="3"/>
      <c r="F82" s="3"/>
      <c r="G82" s="3"/>
    </row>
    <row r="83" s="1" customFormat="1" spans="1:10">
      <c r="A83" s="3"/>
      <c r="B83" s="3"/>
      <c r="C83" s="3"/>
      <c r="D83" s="3"/>
      <c r="E83" s="3"/>
      <c r="F83" s="3"/>
      <c r="G83" s="3"/>
    </row>
    <row r="84" s="1" customFormat="1" spans="1:10">
      <c r="A84" s="3"/>
      <c r="B84" s="3"/>
      <c r="C84" s="3"/>
      <c r="D84" s="3"/>
      <c r="E84" s="3"/>
      <c r="F84" s="3"/>
      <c r="G84" s="3"/>
    </row>
    <row r="85" s="1" customFormat="1" spans="1:10">
      <c r="A85" s="3"/>
      <c r="B85" s="3"/>
      <c r="C85" s="3"/>
      <c r="D85" s="3"/>
      <c r="E85" s="3"/>
      <c r="F85" s="3"/>
      <c r="G85" s="3"/>
      <c r="H85" s="14"/>
      <c r="I85" s="3"/>
      <c r="J85" s="17"/>
    </row>
    <row r="86" s="1" customFormat="1" ht="15.75" spans="1:10">
      <c r="A86" s="2" t="s">
        <v>0</v>
      </c>
      <c r="B86" s="2" t="s">
        <v>285</v>
      </c>
      <c r="C86" s="2" t="s">
        <v>228</v>
      </c>
      <c r="D86" s="2" t="s">
        <v>229</v>
      </c>
      <c r="E86" s="2" t="s">
        <v>4</v>
      </c>
      <c r="F86" s="2" t="s">
        <v>5</v>
      </c>
      <c r="G86" s="2" t="s">
        <v>6</v>
      </c>
    </row>
    <row r="87" s="1" customFormat="1" spans="1:10">
      <c r="A87" s="3"/>
      <c r="B87" s="3" t="s">
        <v>286</v>
      </c>
      <c r="C87" s="3">
        <v>700</v>
      </c>
      <c r="D87" s="3">
        <v>10320</v>
      </c>
      <c r="E87" s="3">
        <f>(D87-(D87*5%))</f>
        <v>9804</v>
      </c>
      <c r="F87" s="3">
        <f>D87/25</f>
        <v>412.8</v>
      </c>
      <c r="G87" s="3"/>
    </row>
    <row r="88" s="1" customFormat="1" spans="1:10">
      <c r="A88" s="3"/>
      <c r="B88" s="3" t="s">
        <v>287</v>
      </c>
      <c r="C88" s="3">
        <v>750</v>
      </c>
      <c r="D88" s="3">
        <v>6870</v>
      </c>
      <c r="E88" s="3">
        <f t="shared" ref="E88:E97" si="14">(D88-(D88*5%))</f>
        <v>6526.5</v>
      </c>
      <c r="F88" s="3">
        <f t="shared" ref="F88:F97" si="15">D88/25</f>
        <v>274.8</v>
      </c>
      <c r="G88" s="3"/>
    </row>
    <row r="89" s="1" customFormat="1" spans="1:10">
      <c r="A89" s="3"/>
      <c r="B89" s="3" t="s">
        <v>288</v>
      </c>
      <c r="C89" s="3">
        <v>750</v>
      </c>
      <c r="D89" s="3">
        <v>6700</v>
      </c>
      <c r="E89" s="3">
        <f t="shared" si="14"/>
        <v>6365</v>
      </c>
      <c r="F89" s="3">
        <f t="shared" si="15"/>
        <v>268</v>
      </c>
      <c r="G89" s="3"/>
    </row>
    <row r="90" s="1" customFormat="1" spans="1:10">
      <c r="A90" s="3"/>
      <c r="B90" s="3" t="s">
        <v>289</v>
      </c>
      <c r="C90" s="3">
        <v>700</v>
      </c>
      <c r="D90" s="3">
        <v>4830</v>
      </c>
      <c r="E90" s="3">
        <f t="shared" si="14"/>
        <v>4588.5</v>
      </c>
      <c r="F90" s="3">
        <f t="shared" si="15"/>
        <v>193.2</v>
      </c>
      <c r="G90" s="3"/>
    </row>
    <row r="91" s="1" customFormat="1" spans="1:10">
      <c r="A91" s="3"/>
      <c r="B91" s="3" t="s">
        <v>290</v>
      </c>
      <c r="C91" s="3">
        <v>700</v>
      </c>
      <c r="D91" s="3">
        <v>4050</v>
      </c>
      <c r="E91" s="3">
        <f t="shared" si="14"/>
        <v>3847.5</v>
      </c>
      <c r="F91" s="3">
        <f t="shared" si="15"/>
        <v>162</v>
      </c>
      <c r="G91" s="3"/>
      <c r="I91" s="18"/>
    </row>
    <row r="92" s="1" customFormat="1" spans="1:10">
      <c r="A92" s="3"/>
      <c r="B92" s="3" t="s">
        <v>291</v>
      </c>
      <c r="C92" s="3">
        <v>700</v>
      </c>
      <c r="D92" s="3">
        <v>3750</v>
      </c>
      <c r="E92" s="3">
        <f t="shared" si="14"/>
        <v>3562.5</v>
      </c>
      <c r="F92" s="3">
        <f t="shared" si="15"/>
        <v>150</v>
      </c>
      <c r="G92" s="3"/>
    </row>
    <row r="93" s="1" customFormat="1" spans="1:10">
      <c r="A93" s="3"/>
      <c r="B93" s="3" t="s">
        <v>292</v>
      </c>
      <c r="C93" s="3">
        <v>750</v>
      </c>
      <c r="D93" s="3">
        <v>3750</v>
      </c>
      <c r="E93" s="3">
        <f t="shared" si="14"/>
        <v>3562.5</v>
      </c>
      <c r="F93" s="3">
        <f t="shared" si="15"/>
        <v>150</v>
      </c>
      <c r="G93" s="3"/>
      <c r="I93" s="18"/>
    </row>
    <row r="94" s="1" customFormat="1" spans="1:10">
      <c r="A94" s="3"/>
      <c r="B94" s="3" t="s">
        <v>293</v>
      </c>
      <c r="C94" s="3">
        <v>750</v>
      </c>
      <c r="D94" s="3">
        <v>3670</v>
      </c>
      <c r="E94" s="3">
        <f t="shared" si="14"/>
        <v>3486.5</v>
      </c>
      <c r="F94" s="3">
        <f t="shared" si="15"/>
        <v>146.8</v>
      </c>
      <c r="G94" s="3"/>
    </row>
    <row r="95" s="1" customFormat="1" spans="1:10">
      <c r="A95" s="3"/>
      <c r="B95" s="3" t="s">
        <v>109</v>
      </c>
      <c r="C95" s="3">
        <v>1000</v>
      </c>
      <c r="D95" s="3">
        <v>2750</v>
      </c>
      <c r="E95" s="3">
        <f t="shared" si="14"/>
        <v>2612.5</v>
      </c>
      <c r="F95" s="3">
        <f t="shared" si="15"/>
        <v>110</v>
      </c>
      <c r="G95" s="3"/>
    </row>
    <row r="96" s="1" customFormat="1" spans="1:10">
      <c r="A96" s="3"/>
      <c r="B96" s="3" t="s">
        <v>294</v>
      </c>
      <c r="C96" s="3">
        <v>750</v>
      </c>
      <c r="D96" s="3">
        <v>2370</v>
      </c>
      <c r="E96" s="3">
        <f t="shared" si="14"/>
        <v>2251.5</v>
      </c>
      <c r="F96" s="3">
        <f t="shared" si="15"/>
        <v>94.8</v>
      </c>
      <c r="G96" s="3"/>
    </row>
    <row r="97" s="1" customFormat="1" spans="1:11">
      <c r="A97" s="3"/>
      <c r="B97" s="3" t="s">
        <v>295</v>
      </c>
      <c r="C97" s="3">
        <v>750</v>
      </c>
      <c r="D97" s="3">
        <v>2090</v>
      </c>
      <c r="E97" s="3">
        <f t="shared" si="14"/>
        <v>1985.5</v>
      </c>
      <c r="F97" s="3">
        <f t="shared" si="15"/>
        <v>83.6</v>
      </c>
      <c r="G97" s="3"/>
      <c r="H97" s="14"/>
      <c r="I97" s="15"/>
      <c r="J97" s="17"/>
    </row>
    <row r="98" s="1" customFormat="1" spans="1:11">
      <c r="A98" s="3"/>
      <c r="B98" s="3"/>
      <c r="C98" s="3"/>
      <c r="D98" s="3"/>
      <c r="E98" s="3"/>
      <c r="F98" s="3"/>
      <c r="G98" s="3"/>
    </row>
    <row r="99" s="1" customFormat="1" spans="1:11">
      <c r="A99" s="3"/>
      <c r="B99" s="3"/>
      <c r="C99" s="3"/>
      <c r="D99" s="3"/>
      <c r="E99" s="3"/>
      <c r="F99" s="3"/>
      <c r="G99" s="3"/>
    </row>
    <row r="100" s="1" customFormat="1" ht="15.75" spans="1:11">
      <c r="A100" s="2" t="s">
        <v>0</v>
      </c>
      <c r="B100" s="2" t="s">
        <v>296</v>
      </c>
      <c r="C100" s="2" t="s">
        <v>228</v>
      </c>
      <c r="D100" s="2" t="s">
        <v>229</v>
      </c>
      <c r="E100" s="2" t="s">
        <v>4</v>
      </c>
      <c r="F100" s="2" t="s">
        <v>5</v>
      </c>
      <c r="G100" s="2" t="s">
        <v>6</v>
      </c>
    </row>
    <row r="101" s="1" customFormat="1" spans="1:11">
      <c r="A101" s="3"/>
      <c r="B101" s="3" t="s">
        <v>297</v>
      </c>
      <c r="C101" s="3">
        <v>750</v>
      </c>
      <c r="D101" s="3">
        <v>4010</v>
      </c>
      <c r="E101" s="3">
        <f>(D101-(D101*5%))</f>
        <v>3809.5</v>
      </c>
      <c r="F101" s="3">
        <f>D101/25</f>
        <v>160.4</v>
      </c>
      <c r="G101" s="3"/>
    </row>
    <row r="102" s="1" customFormat="1" spans="1:11">
      <c r="A102" s="3"/>
      <c r="B102" s="3" t="s">
        <v>298</v>
      </c>
      <c r="C102" s="3">
        <v>750</v>
      </c>
      <c r="D102" s="3">
        <v>3060</v>
      </c>
      <c r="E102" s="3">
        <f>(D102-(D102*5%))</f>
        <v>2907</v>
      </c>
      <c r="F102" s="3">
        <f>D102/25</f>
        <v>122.4</v>
      </c>
      <c r="G102" s="3"/>
    </row>
    <row r="103" s="1" customFormat="1" spans="1:11">
      <c r="A103" s="3"/>
      <c r="B103" s="3" t="s">
        <v>113</v>
      </c>
      <c r="C103" s="3">
        <v>750</v>
      </c>
      <c r="D103" s="3">
        <v>2670</v>
      </c>
      <c r="E103" s="3">
        <f>(D103-(D103*5%))</f>
        <v>2536.5</v>
      </c>
      <c r="F103" s="3">
        <f>D103/25</f>
        <v>106.8</v>
      </c>
      <c r="G103" s="3"/>
    </row>
    <row r="104" s="1" customFormat="1" spans="1:11">
      <c r="A104" s="3"/>
      <c r="B104" s="3" t="s">
        <v>299</v>
      </c>
      <c r="C104" s="3">
        <v>750</v>
      </c>
      <c r="D104" s="3">
        <v>2410</v>
      </c>
      <c r="E104" s="3">
        <f>(D104-(D104*5%))</f>
        <v>2289.5</v>
      </c>
      <c r="F104" s="3">
        <f>D104/25</f>
        <v>96.4</v>
      </c>
      <c r="G104" s="3"/>
    </row>
    <row r="105" s="1" customFormat="1" spans="1:11">
      <c r="A105" s="3"/>
      <c r="B105" s="3" t="s">
        <v>300</v>
      </c>
      <c r="C105" s="3">
        <v>700</v>
      </c>
      <c r="D105" s="3">
        <v>2120</v>
      </c>
      <c r="E105" s="3">
        <f>(D105-(D105*5%))</f>
        <v>2014</v>
      </c>
      <c r="F105" s="3">
        <f>D105/23</f>
        <v>92.1739130434783</v>
      </c>
      <c r="G105" s="3"/>
    </row>
    <row r="106" s="1" customFormat="1" spans="1:11">
      <c r="A106" s="3"/>
      <c r="B106" s="3"/>
      <c r="C106" s="3"/>
      <c r="D106" s="3"/>
      <c r="E106" s="3"/>
      <c r="F106" s="3"/>
      <c r="G106" s="3"/>
    </row>
    <row r="107" s="1" customFormat="1" spans="1:11">
      <c r="A107" s="3"/>
      <c r="B107" s="3"/>
      <c r="C107" s="3"/>
      <c r="D107" s="3"/>
      <c r="E107" s="3"/>
      <c r="F107" s="3"/>
      <c r="G107" s="3"/>
      <c r="H107" s="14"/>
      <c r="I107" s="15"/>
      <c r="K107" s="17"/>
    </row>
    <row r="108" s="1" customFormat="1" spans="1:11">
      <c r="A108" s="3"/>
      <c r="B108" s="3"/>
      <c r="C108" s="3"/>
      <c r="D108" s="3"/>
      <c r="E108" s="3"/>
      <c r="F108" s="3"/>
      <c r="G108" s="3"/>
    </row>
    <row r="109" s="1" customFormat="1" ht="15.75" spans="1:11">
      <c r="A109" s="2" t="s">
        <v>0</v>
      </c>
      <c r="B109" s="2" t="s">
        <v>301</v>
      </c>
      <c r="C109" s="2" t="s">
        <v>228</v>
      </c>
      <c r="D109" s="2" t="s">
        <v>229</v>
      </c>
      <c r="E109" s="2" t="s">
        <v>4</v>
      </c>
      <c r="F109" s="2" t="s">
        <v>5</v>
      </c>
      <c r="G109" s="2" t="s">
        <v>6</v>
      </c>
    </row>
    <row r="110" s="1" customFormat="1" spans="1:11">
      <c r="A110" s="3"/>
      <c r="B110" s="3" t="s">
        <v>302</v>
      </c>
      <c r="C110" s="3">
        <v>750</v>
      </c>
      <c r="D110" s="3">
        <v>24000</v>
      </c>
      <c r="E110" s="3">
        <f>(D110-(D110*5%))</f>
        <v>22800</v>
      </c>
      <c r="F110" s="3">
        <f>D110/25</f>
        <v>960</v>
      </c>
      <c r="G110" s="3"/>
    </row>
    <row r="111" s="1" customFormat="1" spans="1:11">
      <c r="A111" s="3"/>
      <c r="B111" s="3" t="s">
        <v>303</v>
      </c>
      <c r="C111" s="3">
        <v>700</v>
      </c>
      <c r="D111" s="3">
        <v>9020</v>
      </c>
      <c r="E111" s="3">
        <f t="shared" ref="E111:E121" si="16">(D111-(D111*5%))</f>
        <v>8569</v>
      </c>
      <c r="F111" s="3">
        <f>D111/23</f>
        <v>392.173913043478</v>
      </c>
      <c r="G111" s="3"/>
    </row>
    <row r="112" s="1" customFormat="1" spans="1:11">
      <c r="A112" s="3"/>
      <c r="B112" s="3" t="s">
        <v>304</v>
      </c>
      <c r="C112" s="3">
        <v>750</v>
      </c>
      <c r="D112" s="3">
        <v>8600</v>
      </c>
      <c r="E112" s="3">
        <f t="shared" si="16"/>
        <v>8170</v>
      </c>
      <c r="F112" s="3">
        <f t="shared" ref="F111:F121" si="17">D112/25</f>
        <v>344</v>
      </c>
      <c r="G112" s="3"/>
    </row>
    <row r="113" s="1" customFormat="1" spans="1:10">
      <c r="A113" s="3"/>
      <c r="B113" s="3" t="s">
        <v>122</v>
      </c>
      <c r="C113" s="3">
        <v>750</v>
      </c>
      <c r="D113" s="3">
        <v>8160</v>
      </c>
      <c r="E113" s="3">
        <f t="shared" si="16"/>
        <v>7752</v>
      </c>
      <c r="F113" s="3">
        <f t="shared" si="17"/>
        <v>326.4</v>
      </c>
      <c r="G113" s="3"/>
    </row>
    <row r="114" s="1" customFormat="1" spans="1:10">
      <c r="A114" s="3"/>
      <c r="B114" s="3" t="s">
        <v>305</v>
      </c>
      <c r="C114" s="3">
        <v>700</v>
      </c>
      <c r="D114" s="3">
        <v>7420</v>
      </c>
      <c r="E114" s="3">
        <f t="shared" si="16"/>
        <v>7049</v>
      </c>
      <c r="F114" s="3">
        <f>D114/23</f>
        <v>322.608695652174</v>
      </c>
      <c r="G114" s="3"/>
    </row>
    <row r="115" s="1" customFormat="1" spans="1:10">
      <c r="A115" s="3"/>
      <c r="B115" s="3" t="s">
        <v>306</v>
      </c>
      <c r="C115" s="3">
        <v>700</v>
      </c>
      <c r="D115" s="3">
        <v>6820</v>
      </c>
      <c r="E115" s="3">
        <f t="shared" si="16"/>
        <v>6479</v>
      </c>
      <c r="F115" s="3">
        <f>D115/23</f>
        <v>296.521739130435</v>
      </c>
      <c r="G115" s="3"/>
    </row>
    <row r="116" s="1" customFormat="1" spans="1:10">
      <c r="A116" s="3"/>
      <c r="B116" s="3" t="s">
        <v>307</v>
      </c>
      <c r="C116" s="3">
        <v>750</v>
      </c>
      <c r="D116" s="3">
        <v>6820</v>
      </c>
      <c r="E116" s="3">
        <f t="shared" si="16"/>
        <v>6479</v>
      </c>
      <c r="F116" s="3">
        <f t="shared" si="17"/>
        <v>272.8</v>
      </c>
      <c r="G116" s="3"/>
    </row>
    <row r="117" s="1" customFormat="1" spans="1:10">
      <c r="A117" s="3"/>
      <c r="B117" s="3" t="s">
        <v>308</v>
      </c>
      <c r="C117" s="3">
        <v>700</v>
      </c>
      <c r="D117" s="3">
        <v>5720</v>
      </c>
      <c r="E117" s="3">
        <f t="shared" si="16"/>
        <v>5434</v>
      </c>
      <c r="F117" s="3">
        <f>D117/23</f>
        <v>248.695652173913</v>
      </c>
      <c r="G117" s="3"/>
    </row>
    <row r="118" s="1" customFormat="1" spans="1:10">
      <c r="A118" s="3"/>
      <c r="B118" s="3" t="s">
        <v>309</v>
      </c>
      <c r="C118" s="3">
        <v>750</v>
      </c>
      <c r="D118" s="3">
        <v>5420</v>
      </c>
      <c r="E118" s="3">
        <f t="shared" si="16"/>
        <v>5149</v>
      </c>
      <c r="F118" s="3">
        <f t="shared" si="17"/>
        <v>216.8</v>
      </c>
      <c r="G118" s="3"/>
      <c r="H118" s="18"/>
      <c r="I118" s="18"/>
    </row>
    <row r="119" s="1" customFormat="1" spans="1:10">
      <c r="A119" s="3"/>
      <c r="B119" s="3" t="s">
        <v>310</v>
      </c>
      <c r="C119" s="3">
        <v>750</v>
      </c>
      <c r="D119" s="3">
        <v>4920</v>
      </c>
      <c r="E119" s="3">
        <f t="shared" si="16"/>
        <v>4674</v>
      </c>
      <c r="F119" s="3">
        <f t="shared" si="17"/>
        <v>196.8</v>
      </c>
      <c r="G119" s="3"/>
      <c r="H119" s="18"/>
    </row>
    <row r="120" s="1" customFormat="1" spans="1:10">
      <c r="A120" s="3"/>
      <c r="B120" s="3" t="s">
        <v>311</v>
      </c>
      <c r="C120" s="3">
        <v>750</v>
      </c>
      <c r="D120" s="3">
        <v>4150</v>
      </c>
      <c r="E120" s="3">
        <f t="shared" si="16"/>
        <v>3942.5</v>
      </c>
      <c r="F120" s="3">
        <f t="shared" si="17"/>
        <v>166</v>
      </c>
      <c r="G120" s="3"/>
      <c r="H120" s="18"/>
    </row>
    <row r="121" s="1" customFormat="1" spans="1:10">
      <c r="A121" s="3"/>
      <c r="B121" s="3" t="s">
        <v>312</v>
      </c>
      <c r="C121" s="3">
        <v>750</v>
      </c>
      <c r="D121" s="3">
        <v>3860</v>
      </c>
      <c r="E121" s="3">
        <f t="shared" si="16"/>
        <v>3667</v>
      </c>
      <c r="F121" s="3">
        <f t="shared" si="17"/>
        <v>154.4</v>
      </c>
      <c r="G121" s="3"/>
      <c r="I121" s="18"/>
    </row>
    <row r="122" s="1" customFormat="1" spans="1:10">
      <c r="A122" s="3"/>
      <c r="B122" s="3"/>
      <c r="C122" s="3"/>
      <c r="D122" s="3"/>
      <c r="E122" s="3"/>
      <c r="F122" s="3"/>
      <c r="G122" s="3"/>
    </row>
    <row r="123" s="1" customFormat="1" spans="1:10">
      <c r="A123" s="3"/>
      <c r="B123" s="3"/>
      <c r="C123" s="3"/>
      <c r="D123" s="3"/>
      <c r="E123" s="3"/>
      <c r="F123" s="3"/>
      <c r="G123" s="3"/>
      <c r="H123" s="14"/>
      <c r="I123" s="15"/>
      <c r="J123" s="17"/>
    </row>
    <row r="124" s="1" customFormat="1" spans="1:10">
      <c r="A124" s="3"/>
      <c r="B124" s="3"/>
      <c r="C124" s="3"/>
      <c r="D124" s="3"/>
      <c r="E124" s="3"/>
      <c r="F124" s="3"/>
      <c r="G124" s="3"/>
    </row>
    <row r="125" s="1" customFormat="1" ht="15.75" spans="1:10">
      <c r="A125" s="2" t="s">
        <v>0</v>
      </c>
      <c r="B125" s="2" t="s">
        <v>313</v>
      </c>
      <c r="C125" s="2" t="s">
        <v>228</v>
      </c>
      <c r="D125" s="2" t="s">
        <v>229</v>
      </c>
      <c r="E125" s="2" t="s">
        <v>4</v>
      </c>
      <c r="F125" s="2" t="s">
        <v>5</v>
      </c>
      <c r="G125" s="2" t="s">
        <v>6</v>
      </c>
    </row>
    <row r="126" s="1" customFormat="1" spans="1:10">
      <c r="A126" s="3"/>
      <c r="B126" s="3" t="s">
        <v>314</v>
      </c>
      <c r="C126" s="3">
        <v>750</v>
      </c>
      <c r="D126" s="3">
        <v>4210</v>
      </c>
      <c r="E126" s="3">
        <f>(D126-(D126*5%))</f>
        <v>3999.5</v>
      </c>
      <c r="F126" s="3">
        <f>D126/25</f>
        <v>168.4</v>
      </c>
      <c r="G126" s="3"/>
    </row>
    <row r="127" s="1" customFormat="1" spans="1:10">
      <c r="A127" s="3"/>
      <c r="B127" s="3" t="s">
        <v>315</v>
      </c>
      <c r="C127" s="3">
        <v>750</v>
      </c>
      <c r="D127" s="3">
        <v>3860</v>
      </c>
      <c r="E127" s="3">
        <f t="shared" ref="E127:E139" si="18">(D127-(D127*5%))</f>
        <v>3667</v>
      </c>
      <c r="F127" s="3">
        <f t="shared" ref="F127:F139" si="19">D127/25</f>
        <v>154.4</v>
      </c>
      <c r="G127" s="3"/>
    </row>
    <row r="128" s="1" customFormat="1" spans="1:10">
      <c r="A128" s="3"/>
      <c r="B128" s="3" t="s">
        <v>137</v>
      </c>
      <c r="C128" s="3">
        <v>750</v>
      </c>
      <c r="D128" s="3">
        <v>3520</v>
      </c>
      <c r="E128" s="3">
        <f t="shared" si="18"/>
        <v>3344</v>
      </c>
      <c r="F128" s="3">
        <f t="shared" si="19"/>
        <v>140.8</v>
      </c>
      <c r="G128" s="3"/>
    </row>
    <row r="129" s="1" customFormat="1" spans="1:11">
      <c r="A129" s="3"/>
      <c r="B129" s="3" t="s">
        <v>316</v>
      </c>
      <c r="C129" s="3">
        <v>750</v>
      </c>
      <c r="D129" s="3">
        <v>3290</v>
      </c>
      <c r="E129" s="3">
        <f t="shared" si="18"/>
        <v>3125.5</v>
      </c>
      <c r="F129" s="3">
        <f t="shared" si="19"/>
        <v>131.6</v>
      </c>
      <c r="G129" s="3"/>
    </row>
    <row r="130" s="1" customFormat="1" spans="1:11">
      <c r="A130" s="3"/>
      <c r="B130" s="3" t="s">
        <v>317</v>
      </c>
      <c r="C130" s="3">
        <v>700</v>
      </c>
      <c r="D130" s="3">
        <v>3200</v>
      </c>
      <c r="E130" s="3">
        <f t="shared" si="18"/>
        <v>3040</v>
      </c>
      <c r="F130" s="3">
        <f>D130/23</f>
        <v>139.130434782609</v>
      </c>
      <c r="G130" s="3"/>
    </row>
    <row r="131" s="1" customFormat="1" spans="1:11">
      <c r="A131" s="3"/>
      <c r="B131" s="3" t="s">
        <v>318</v>
      </c>
      <c r="C131" s="3">
        <v>750</v>
      </c>
      <c r="D131" s="3">
        <v>3090</v>
      </c>
      <c r="E131" s="3">
        <f t="shared" si="18"/>
        <v>2935.5</v>
      </c>
      <c r="F131" s="3">
        <f t="shared" si="19"/>
        <v>123.6</v>
      </c>
      <c r="G131" s="3"/>
    </row>
    <row r="132" s="1" customFormat="1" spans="1:11">
      <c r="A132" s="3"/>
      <c r="B132" s="3" t="s">
        <v>319</v>
      </c>
      <c r="C132" s="3">
        <v>750</v>
      </c>
      <c r="D132" s="3">
        <v>2740</v>
      </c>
      <c r="E132" s="3">
        <f t="shared" si="18"/>
        <v>2603</v>
      </c>
      <c r="F132" s="3">
        <f t="shared" si="19"/>
        <v>109.6</v>
      </c>
      <c r="G132" s="3"/>
    </row>
    <row r="133" s="1" customFormat="1" spans="1:11">
      <c r="A133" s="3"/>
      <c r="B133" s="3" t="s">
        <v>320</v>
      </c>
      <c r="C133" s="3">
        <v>750</v>
      </c>
      <c r="D133" s="3">
        <v>2720</v>
      </c>
      <c r="E133" s="3">
        <f t="shared" si="18"/>
        <v>2584</v>
      </c>
      <c r="F133" s="3">
        <f t="shared" si="19"/>
        <v>108.8</v>
      </c>
      <c r="G133" s="3"/>
    </row>
    <row r="134" s="1" customFormat="1" spans="1:11">
      <c r="A134" s="3"/>
      <c r="B134" s="3" t="s">
        <v>321</v>
      </c>
      <c r="C134" s="3">
        <v>700</v>
      </c>
      <c r="D134" s="3">
        <v>2790</v>
      </c>
      <c r="E134" s="3">
        <f t="shared" si="18"/>
        <v>2650.5</v>
      </c>
      <c r="F134" s="3">
        <f>D134/23</f>
        <v>121.304347826087</v>
      </c>
      <c r="G134" s="3"/>
    </row>
    <row r="135" s="1" customFormat="1" spans="1:11">
      <c r="A135" s="3"/>
      <c r="B135" s="3" t="s">
        <v>322</v>
      </c>
      <c r="C135" s="3">
        <v>750</v>
      </c>
      <c r="D135" s="3">
        <v>2620</v>
      </c>
      <c r="E135" s="3">
        <f t="shared" si="18"/>
        <v>2489</v>
      </c>
      <c r="F135" s="3">
        <f t="shared" si="19"/>
        <v>104.8</v>
      </c>
      <c r="G135" s="3"/>
    </row>
    <row r="136" s="1" customFormat="1" spans="1:11">
      <c r="A136" s="3"/>
      <c r="B136" s="3" t="s">
        <v>323</v>
      </c>
      <c r="C136" s="3">
        <v>750</v>
      </c>
      <c r="D136" s="3">
        <v>2490</v>
      </c>
      <c r="E136" s="3">
        <f t="shared" si="18"/>
        <v>2365.5</v>
      </c>
      <c r="F136" s="3">
        <f t="shared" si="19"/>
        <v>99.6</v>
      </c>
      <c r="G136" s="3"/>
    </row>
    <row r="137" s="1" customFormat="1" spans="1:11">
      <c r="A137" s="3"/>
      <c r="B137" s="3" t="s">
        <v>324</v>
      </c>
      <c r="C137" s="3">
        <v>700</v>
      </c>
      <c r="D137" s="3">
        <v>2460</v>
      </c>
      <c r="E137" s="3">
        <f t="shared" si="18"/>
        <v>2337</v>
      </c>
      <c r="F137" s="3">
        <f>D137/23</f>
        <v>106.95652173913</v>
      </c>
      <c r="G137" s="3"/>
    </row>
    <row r="138" s="1" customFormat="1" spans="1:11">
      <c r="A138" s="3"/>
      <c r="B138" s="3" t="s">
        <v>325</v>
      </c>
      <c r="C138" s="3">
        <v>750</v>
      </c>
      <c r="D138" s="3">
        <v>2480</v>
      </c>
      <c r="E138" s="3">
        <f t="shared" si="18"/>
        <v>2356</v>
      </c>
      <c r="F138" s="3">
        <f t="shared" si="19"/>
        <v>99.2</v>
      </c>
      <c r="G138" s="3"/>
    </row>
    <row r="139" s="1" customFormat="1" spans="1:11">
      <c r="A139" s="3"/>
      <c r="B139" s="3" t="s">
        <v>326</v>
      </c>
      <c r="C139" s="3">
        <v>750</v>
      </c>
      <c r="D139" s="3">
        <v>2320</v>
      </c>
      <c r="E139" s="3">
        <f t="shared" si="18"/>
        <v>2204</v>
      </c>
      <c r="F139" s="3">
        <f t="shared" si="19"/>
        <v>92.8</v>
      </c>
      <c r="G139" s="3"/>
      <c r="K139" s="16"/>
    </row>
    <row r="140" s="1" customFormat="1" spans="1:11">
      <c r="A140" s="3"/>
      <c r="B140" s="3"/>
      <c r="C140" s="3"/>
      <c r="D140" s="3"/>
      <c r="E140" s="3"/>
      <c r="F140" s="3"/>
      <c r="G140" s="3"/>
    </row>
    <row r="141" s="1" customFormat="1" spans="1:11">
      <c r="A141" s="3"/>
      <c r="B141" s="3"/>
      <c r="C141" s="3"/>
      <c r="D141" s="3"/>
      <c r="E141" s="3"/>
      <c r="F141" s="3"/>
      <c r="G141" s="3"/>
    </row>
    <row r="142" s="1" customFormat="1" ht="15.75" spans="1:11">
      <c r="A142" s="2" t="s">
        <v>0</v>
      </c>
      <c r="B142" s="2" t="s">
        <v>327</v>
      </c>
      <c r="C142" s="2" t="s">
        <v>228</v>
      </c>
      <c r="D142" s="2" t="s">
        <v>229</v>
      </c>
      <c r="E142" s="2" t="s">
        <v>4</v>
      </c>
      <c r="F142" s="2" t="s">
        <v>153</v>
      </c>
      <c r="G142" s="2" t="s">
        <v>6</v>
      </c>
    </row>
    <row r="143" s="1" customFormat="1" spans="1:11">
      <c r="A143" s="3"/>
      <c r="B143" s="3" t="s">
        <v>328</v>
      </c>
      <c r="C143" s="3">
        <v>330</v>
      </c>
      <c r="D143" s="3">
        <v>500</v>
      </c>
      <c r="E143" s="3">
        <f t="shared" ref="E143:E148" si="20">(D143-(D143*5%))</f>
        <v>475</v>
      </c>
      <c r="F143" s="3">
        <f t="shared" ref="F143:F148" si="21">D143/1</f>
        <v>500</v>
      </c>
      <c r="G143" s="3"/>
    </row>
    <row r="144" s="1" customFormat="1" spans="1:11">
      <c r="A144" s="3"/>
      <c r="B144" s="3" t="s">
        <v>329</v>
      </c>
      <c r="C144" s="3">
        <v>330</v>
      </c>
      <c r="D144" s="3">
        <v>200</v>
      </c>
      <c r="E144" s="3">
        <f t="shared" si="20"/>
        <v>190</v>
      </c>
      <c r="F144" s="3">
        <f t="shared" si="21"/>
        <v>200</v>
      </c>
      <c r="G144" s="3"/>
    </row>
    <row r="145" s="1" customFormat="1" spans="1:13">
      <c r="A145" s="3"/>
      <c r="B145" s="3" t="s">
        <v>330</v>
      </c>
      <c r="C145" s="3">
        <v>330</v>
      </c>
      <c r="D145" s="3">
        <v>200</v>
      </c>
      <c r="E145" s="3">
        <f t="shared" si="20"/>
        <v>190</v>
      </c>
      <c r="F145" s="3">
        <f t="shared" si="21"/>
        <v>200</v>
      </c>
      <c r="G145" s="3"/>
      <c r="I145" s="18"/>
      <c r="J145" s="18"/>
    </row>
    <row r="146" s="1" customFormat="1" spans="1:13">
      <c r="A146" s="3"/>
      <c r="B146" s="3" t="s">
        <v>331</v>
      </c>
      <c r="C146" s="3">
        <v>330</v>
      </c>
      <c r="D146" s="3">
        <v>190</v>
      </c>
      <c r="E146" s="3">
        <f t="shared" si="20"/>
        <v>180.5</v>
      </c>
      <c r="F146" s="3">
        <f t="shared" si="21"/>
        <v>190</v>
      </c>
      <c r="G146" s="3"/>
    </row>
    <row r="147" s="1" customFormat="1" spans="1:13">
      <c r="A147" s="3"/>
      <c r="B147" s="3" t="s">
        <v>332</v>
      </c>
      <c r="C147" s="3">
        <v>330</v>
      </c>
      <c r="D147" s="3">
        <v>150</v>
      </c>
      <c r="E147" s="3">
        <f t="shared" si="20"/>
        <v>142.5</v>
      </c>
      <c r="F147" s="3">
        <f t="shared" si="21"/>
        <v>150</v>
      </c>
      <c r="G147" s="3"/>
      <c r="H147" s="18"/>
      <c r="I147" s="18"/>
      <c r="K147" s="18"/>
    </row>
    <row r="148" s="1" customFormat="1" spans="1:13">
      <c r="A148" s="3"/>
      <c r="B148" s="3" t="s">
        <v>333</v>
      </c>
      <c r="C148" s="3">
        <v>330</v>
      </c>
      <c r="D148" s="3">
        <v>100</v>
      </c>
      <c r="E148" s="3">
        <f t="shared" si="20"/>
        <v>95</v>
      </c>
      <c r="F148" s="3">
        <f t="shared" si="21"/>
        <v>100</v>
      </c>
      <c r="G148" s="3"/>
    </row>
    <row r="149" s="1" customFormat="1" spans="1:13">
      <c r="A149" s="3"/>
      <c r="B149" s="3"/>
      <c r="C149" s="3"/>
      <c r="D149" s="3"/>
      <c r="E149" s="3"/>
      <c r="F149" s="3"/>
      <c r="G149" s="3"/>
    </row>
    <row r="150" s="1" customFormat="1" spans="1:13">
      <c r="A150" s="3"/>
      <c r="B150" s="3"/>
      <c r="C150" s="3"/>
      <c r="D150" s="3"/>
      <c r="E150" s="3"/>
      <c r="F150" s="3"/>
      <c r="G150" s="3"/>
    </row>
    <row r="151" s="1" customFormat="1" spans="1:13">
      <c r="A151" s="3"/>
      <c r="B151" s="3"/>
      <c r="C151" s="3"/>
      <c r="D151" s="3"/>
      <c r="E151" s="3"/>
      <c r="F151" s="3"/>
      <c r="G151" s="3"/>
      <c r="H151" s="14"/>
      <c r="I151" s="15"/>
    </row>
    <row r="152" s="1" customFormat="1" ht="15.75" spans="1:13">
      <c r="A152" s="2"/>
      <c r="B152" s="2" t="s">
        <v>334</v>
      </c>
      <c r="C152" s="2" t="s">
        <v>228</v>
      </c>
      <c r="D152" s="2" t="s">
        <v>229</v>
      </c>
      <c r="E152" s="2" t="s">
        <v>4</v>
      </c>
      <c r="F152" s="2" t="s">
        <v>335</v>
      </c>
      <c r="G152" s="2" t="s">
        <v>6</v>
      </c>
    </row>
    <row r="153" s="1" customFormat="1" spans="1:13">
      <c r="A153" s="3"/>
      <c r="B153" s="3" t="s">
        <v>336</v>
      </c>
      <c r="C153" s="3">
        <v>300</v>
      </c>
      <c r="D153" s="3">
        <v>1630</v>
      </c>
      <c r="E153" s="3">
        <f>(D153-(D153*5%))</f>
        <v>1548.5</v>
      </c>
      <c r="F153" s="3">
        <f>D153/1</f>
        <v>1630</v>
      </c>
      <c r="G153" s="3"/>
    </row>
    <row r="154" s="1" customFormat="1" spans="1:13">
      <c r="A154" s="3"/>
      <c r="B154" s="3" t="s">
        <v>337</v>
      </c>
      <c r="C154" s="3">
        <v>360</v>
      </c>
      <c r="D154" s="3">
        <v>450</v>
      </c>
      <c r="E154" s="3">
        <f>(D154-(D154*5%))</f>
        <v>427.5</v>
      </c>
      <c r="F154" s="3">
        <f>D154/1</f>
        <v>450</v>
      </c>
      <c r="G154" s="3"/>
      <c r="I154" s="19"/>
      <c r="J154" s="19"/>
      <c r="K154" s="19"/>
      <c r="L154" s="19"/>
      <c r="M154" s="19"/>
    </row>
    <row r="155" s="1" customFormat="1" spans="1:13">
      <c r="A155" s="3"/>
      <c r="B155" s="3" t="s">
        <v>338</v>
      </c>
      <c r="C155" s="3">
        <v>360</v>
      </c>
      <c r="D155" s="3">
        <v>450</v>
      </c>
      <c r="E155" s="3">
        <f>(D155-(D155*5%))</f>
        <v>427.5</v>
      </c>
      <c r="F155" s="3">
        <f>D155/1</f>
        <v>450</v>
      </c>
      <c r="G155" s="3"/>
      <c r="I155" s="19"/>
      <c r="J155" s="19"/>
      <c r="K155" s="19"/>
      <c r="L155" s="20"/>
      <c r="M155" s="19"/>
    </row>
    <row r="156" s="1" customFormat="1" spans="1:13">
      <c r="A156" s="3"/>
      <c r="B156" s="3"/>
      <c r="C156" s="3"/>
      <c r="D156" s="3"/>
      <c r="E156" s="3"/>
      <c r="F156" s="21"/>
      <c r="G156" s="3"/>
      <c r="L156" s="17"/>
    </row>
    <row r="157" s="1" customFormat="1" ht="15.75" spans="1:13">
      <c r="A157" s="3"/>
      <c r="B157" s="3"/>
      <c r="C157" s="3"/>
      <c r="D157" s="3"/>
      <c r="E157" s="3"/>
      <c r="F157" s="22"/>
      <c r="G157" s="3"/>
      <c r="H157" s="14"/>
      <c r="I157" s="23"/>
      <c r="J157" s="17"/>
      <c r="L157" s="17"/>
    </row>
    <row r="158" s="1" customFormat="1" ht="15.75" spans="1:13">
      <c r="A158" s="2"/>
      <c r="B158" s="2"/>
      <c r="C158" s="2"/>
      <c r="D158" s="2"/>
      <c r="E158" s="2"/>
      <c r="F158" s="2"/>
      <c r="G158" s="2"/>
      <c r="H158" s="24"/>
      <c r="I158" s="25"/>
    </row>
    <row r="159" s="1" customFormat="1" spans="1:13">
      <c r="A159" s="3"/>
      <c r="B159" s="3"/>
      <c r="C159" s="3"/>
      <c r="D159" s="3"/>
      <c r="E159" s="3"/>
      <c r="F159" s="3"/>
      <c r="G159" s="3"/>
      <c r="H159" s="3"/>
    </row>
    <row r="160" s="1" customFormat="1" spans="1:13">
      <c r="A160" s="3"/>
      <c r="B160" s="3"/>
      <c r="C160" s="3"/>
      <c r="D160" s="3"/>
      <c r="E160" s="3"/>
      <c r="F160" s="3"/>
      <c r="G160" s="3"/>
      <c r="H160" s="3"/>
    </row>
    <row r="161" s="1" customFormat="1" spans="1:12">
      <c r="A161" s="3"/>
      <c r="B161" s="3"/>
      <c r="C161" s="3"/>
      <c r="D161" s="3"/>
      <c r="E161" s="3"/>
      <c r="F161" s="3"/>
      <c r="G161" s="3"/>
      <c r="H161" s="3"/>
    </row>
    <row r="162" s="1" customFormat="1" spans="1:12">
      <c r="A162" s="3"/>
      <c r="B162" s="3"/>
      <c r="C162" s="3"/>
      <c r="D162" s="3"/>
      <c r="E162" s="3"/>
      <c r="F162" s="3"/>
      <c r="G162" s="3"/>
      <c r="H162" s="3"/>
      <c r="K162" s="16"/>
    </row>
    <row r="163" s="1" customFormat="1" spans="1:12">
      <c r="A163" s="3"/>
      <c r="B163" s="3"/>
      <c r="C163" s="3"/>
      <c r="D163" s="3"/>
      <c r="E163" s="3"/>
      <c r="F163" s="3"/>
      <c r="G163" s="3"/>
      <c r="H163" s="3"/>
      <c r="K163" s="16"/>
    </row>
    <row r="164" s="1" customFormat="1" spans="1:12">
      <c r="A164" s="3"/>
      <c r="B164" s="3"/>
      <c r="C164" s="3"/>
      <c r="D164" s="3"/>
      <c r="E164" s="3"/>
      <c r="F164" s="3"/>
      <c r="G164" s="3"/>
      <c r="H164" s="3"/>
    </row>
    <row r="165" s="1" customFormat="1" spans="1:12">
      <c r="A165" s="3"/>
      <c r="B165" s="3"/>
      <c r="C165" s="3"/>
      <c r="D165" s="3"/>
      <c r="E165" s="3"/>
      <c r="F165" s="3"/>
      <c r="G165" s="3"/>
      <c r="H165" s="3"/>
    </row>
    <row r="166" s="1" customFormat="1" spans="1:12">
      <c r="A166" s="3"/>
      <c r="B166" s="3"/>
      <c r="C166" s="3"/>
      <c r="D166" s="3"/>
      <c r="E166" s="3"/>
      <c r="F166" s="3"/>
      <c r="G166" s="3"/>
      <c r="H166" s="3"/>
      <c r="L166" s="26"/>
    </row>
    <row r="167" s="1" customFormat="1" spans="1:12">
      <c r="A167" s="3"/>
      <c r="B167" s="3"/>
      <c r="C167" s="3"/>
      <c r="D167" s="3"/>
      <c r="E167" s="3"/>
      <c r="F167" s="3"/>
      <c r="G167" s="3"/>
      <c r="H167" s="3"/>
    </row>
    <row r="168" s="1" customFormat="1" spans="1:12">
      <c r="A168" s="3"/>
      <c r="B168" s="3"/>
      <c r="C168" s="3"/>
      <c r="D168" s="3"/>
      <c r="E168" s="3"/>
      <c r="F168" s="3"/>
      <c r="G168" s="3"/>
      <c r="H168" s="3"/>
    </row>
    <row r="169" s="1" customFormat="1" spans="1:12">
      <c r="A169" s="3"/>
      <c r="B169" s="3"/>
      <c r="C169" s="3"/>
      <c r="D169" s="3"/>
      <c r="E169" s="3"/>
      <c r="F169" s="3"/>
      <c r="G169" s="3"/>
      <c r="H169" s="3"/>
    </row>
    <row r="170" s="1" customFormat="1" spans="1:12">
      <c r="A170" s="3"/>
      <c r="B170" s="3"/>
      <c r="C170" s="3"/>
      <c r="D170" s="3"/>
      <c r="E170" s="3"/>
      <c r="F170" s="3"/>
      <c r="G170" s="3"/>
      <c r="H170" s="3"/>
    </row>
    <row r="171" s="1" customFormat="1" spans="1:12">
      <c r="A171" s="3"/>
      <c r="B171" s="3"/>
      <c r="C171" s="3"/>
      <c r="D171" s="3"/>
      <c r="E171" s="3"/>
      <c r="F171" s="3"/>
      <c r="G171" s="3"/>
      <c r="H171" s="14"/>
      <c r="I171" s="15"/>
    </row>
    <row r="172" s="1" customFormat="1" spans="1:12">
      <c r="A172" s="3"/>
      <c r="B172" s="3"/>
      <c r="C172" s="3"/>
      <c r="D172" s="3"/>
      <c r="E172" s="3"/>
      <c r="F172" s="3"/>
      <c r="G172" s="3"/>
      <c r="H172" s="3"/>
    </row>
    <row r="173" s="1" customFormat="1" spans="1:12">
      <c r="A173" s="3"/>
      <c r="B173" s="3"/>
      <c r="C173" s="3"/>
      <c r="D173" s="3"/>
      <c r="E173" s="3"/>
      <c r="F173" s="3"/>
      <c r="G173" s="3"/>
      <c r="H173" s="3"/>
    </row>
    <row r="174" s="1" customFormat="1" spans="1:12">
      <c r="A174" s="3"/>
      <c r="B174" s="3"/>
      <c r="C174" s="3"/>
      <c r="D174" s="3"/>
      <c r="E174" s="3"/>
      <c r="F174" s="3"/>
      <c r="G174" s="3"/>
      <c r="H174" s="27"/>
    </row>
    <row r="175" s="1" customFormat="1" spans="1:12">
      <c r="A175" s="3"/>
      <c r="B175" s="3"/>
      <c r="C175" s="3"/>
      <c r="D175" s="3"/>
      <c r="E175" s="3"/>
      <c r="F175" s="3"/>
      <c r="G175" s="28"/>
      <c r="H175" s="14"/>
      <c r="I175" s="15"/>
    </row>
    <row r="176" s="1" customFormat="1" ht="15.75" spans="1:12">
      <c r="A176" s="2" t="s">
        <v>0</v>
      </c>
      <c r="B176" s="2" t="s">
        <v>339</v>
      </c>
      <c r="C176" s="2" t="s">
        <v>228</v>
      </c>
      <c r="D176" s="2" t="s">
        <v>229</v>
      </c>
      <c r="E176" s="2" t="s">
        <v>4</v>
      </c>
      <c r="F176" s="2" t="s">
        <v>186</v>
      </c>
      <c r="G176" s="2" t="s">
        <v>6</v>
      </c>
    </row>
    <row r="177" s="1" customFormat="1" spans="1:11">
      <c r="A177" s="3"/>
      <c r="B177" s="3" t="s">
        <v>340</v>
      </c>
      <c r="C177" s="3">
        <v>750</v>
      </c>
      <c r="D177" s="3">
        <v>38010</v>
      </c>
      <c r="E177" s="3">
        <f>(D177-(D177*5%))</f>
        <v>36109.5</v>
      </c>
      <c r="F177" s="3">
        <f>D177/1</f>
        <v>38010</v>
      </c>
      <c r="G177" s="3"/>
    </row>
    <row r="178" s="1" customFormat="1" spans="1:11">
      <c r="A178" s="3"/>
      <c r="B178" s="3" t="s">
        <v>341</v>
      </c>
      <c r="C178" s="3">
        <v>750</v>
      </c>
      <c r="D178" s="3">
        <v>10480</v>
      </c>
      <c r="E178" s="3">
        <f>(D178-(D178*5%))</f>
        <v>9956</v>
      </c>
      <c r="F178" s="3">
        <f>D178/1</f>
        <v>10480</v>
      </c>
      <c r="G178" s="3"/>
    </row>
    <row r="179" s="1" customFormat="1" spans="1:11">
      <c r="A179" s="3"/>
      <c r="B179" s="3" t="s">
        <v>342</v>
      </c>
      <c r="C179" s="3">
        <v>750</v>
      </c>
      <c r="D179" s="3">
        <v>7560</v>
      </c>
      <c r="E179" s="3">
        <f>(D179-(D179*5%))</f>
        <v>7182</v>
      </c>
      <c r="F179" s="3">
        <f>D179/1</f>
        <v>7560</v>
      </c>
      <c r="G179" s="3"/>
    </row>
    <row r="180" s="1" customFormat="1" spans="1:11">
      <c r="A180" s="3"/>
      <c r="B180" s="3" t="s">
        <v>343</v>
      </c>
      <c r="C180" s="3">
        <v>750</v>
      </c>
      <c r="D180" s="3">
        <v>4950</v>
      </c>
      <c r="E180" s="3">
        <f>(D180-(D180*5%))</f>
        <v>4702.5</v>
      </c>
      <c r="F180" s="3">
        <f>D180/1</f>
        <v>4950</v>
      </c>
      <c r="G180" s="3"/>
    </row>
    <row r="181" s="1" customFormat="1" spans="1:11">
      <c r="A181" s="3"/>
      <c r="B181" s="3" t="s">
        <v>344</v>
      </c>
      <c r="C181" s="3">
        <v>750</v>
      </c>
      <c r="D181" s="3">
        <v>2060</v>
      </c>
      <c r="E181" s="3">
        <f>(D181-(D181*5%))</f>
        <v>1957</v>
      </c>
      <c r="F181" s="3">
        <f>D181/1</f>
        <v>2060</v>
      </c>
      <c r="G181" s="3"/>
    </row>
    <row r="182" s="1" customFormat="1" spans="1:11">
      <c r="A182" s="3"/>
      <c r="B182" s="3"/>
      <c r="C182" s="3"/>
      <c r="D182" s="3"/>
      <c r="E182" s="3"/>
      <c r="F182" s="3"/>
      <c r="G182" s="3"/>
    </row>
    <row r="183" s="1" customFormat="1" spans="1:11">
      <c r="A183" s="3"/>
      <c r="B183" s="3"/>
      <c r="C183" s="3"/>
      <c r="D183" s="3"/>
      <c r="E183" s="3"/>
      <c r="F183" s="3"/>
      <c r="G183" s="3"/>
      <c r="H183" s="14"/>
      <c r="I183" s="15"/>
      <c r="K183" s="17"/>
    </row>
    <row r="186" s="1" customFormat="1" spans="1:11">
      <c r="H186" s="17"/>
    </row>
    <row r="190" spans="1:11">
      <c r="H190" s="18"/>
    </row>
    <row r="191" spans="1:11">
      <c r="B191" s="18"/>
    </row>
  </sheetData>
  <mergeCells count="1">
    <mergeCell ref="I3:M8"/>
  </mergeCells>
  <pageMargins left="0.75" right="0.75" top="1" bottom="1" header="0.5" footer="0.5"/>
  <headerFooter/>
  <ignoredErrors>
    <ignoredError sqref="F137 F134 F130 F116:F117 F111 A1:M1 A2:F12 H2:M12 A13:M75 A78:E81 G76:M81 A82:M86 A87:E97 G87:M97 A98:M100 A101:E105 G101:M105 A106:M109 A110:E121 G110:M121 A122:M125 A126:E139 G126:M139 A140:M142 A143:E148 G143:M148 A149:M151 A152:B152 H152:M152 A153:E155 G153:M155 A156:M176 A177:E181 G177:M181 A182:M19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BAR MENU </vt:lpstr>
      <vt:lpstr>NRM MENU 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WPS_1785926038</cp:lastModifiedBy>
  <dcterms:created xsi:type="dcterms:W3CDTF">2006-09-16T00:00:00Z</dcterms:created>
  <dcterms:modified xsi:type="dcterms:W3CDTF">2026-09-05T13:33:05Z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00A72ECCA8D74DAC9BE8E7F61D4B291C_12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